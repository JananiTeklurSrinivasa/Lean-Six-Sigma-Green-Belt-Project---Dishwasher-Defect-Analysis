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nani\Documents\Sem 4 - Fall 25-Updated\MGT8823 - Data Analysis for Cont.Improvement\Final Project\"/>
    </mc:Choice>
  </mc:AlternateContent>
  <xr:revisionPtr revIDLastSave="0" documentId="13_ncr:1_{CCA7663C-483B-45CF-AA7B-C2858F7199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rrent state" sheetId="1" r:id="rId1"/>
    <sheet name="Complete data-copy" sheetId="2" r:id="rId2"/>
    <sheet name="Data - Working" sheetId="4" r:id="rId3"/>
    <sheet name="Pareto-Pod Brand" sheetId="5" r:id="rId4"/>
    <sheet name="Regression- All variables" sheetId="8" r:id="rId5"/>
    <sheet name="Regression - Dishes Top Rack" sheetId="9" r:id="rId6"/>
    <sheet name="Regression - Pod Brand" sheetId="12" r:id="rId7"/>
    <sheet name="Pareto-Cycle Type" sheetId="7" r:id="rId8"/>
    <sheet name="Time series Plot" sheetId="10" r:id="rId9"/>
    <sheet name="Day of week plot" sheetId="11" r:id="rId10"/>
    <sheet name="ANOVA on Pod type" sheetId="13" r:id="rId11"/>
    <sheet name="ANOVA Run Cycle" sheetId="14" r:id="rId12"/>
    <sheet name="Pod-setting combination" sheetId="15" r:id="rId13"/>
    <sheet name="When to use Heavy" sheetId="16" r:id="rId14"/>
    <sheet name="Sheet6" sheetId="17" r:id="rId15"/>
  </sheets>
  <definedNames>
    <definedName name="_xlnm._FilterDatabase" localSheetId="11" hidden="1">'ANOVA Run Cycle'!$A$1:$B$57</definedName>
    <definedName name="_xlnm._FilterDatabase" localSheetId="2" hidden="1">'Data - Working'!$A$1:$J$57</definedName>
    <definedName name="_xlnm._FilterDatabase" localSheetId="7" hidden="1">'Pareto-Cycle Type'!$A$1:$C$57</definedName>
    <definedName name="_xlchart.v1.0" hidden="1">'Current state'!$E$2:$E$16</definedName>
    <definedName name="_xlchart.v1.1" hidden="1">'Current state'!$E$2:$E$16</definedName>
    <definedName name="_xlchart.v1.10" hidden="1">'Pareto-Cycle Type'!$D$2:$D$57</definedName>
    <definedName name="_xlchart.v1.11" hidden="1">'ANOVA Run Cycle'!$A$2:$A$57</definedName>
    <definedName name="_xlchart.v1.12" hidden="1">'ANOVA Run Cycle'!$B$1</definedName>
    <definedName name="_xlchart.v1.13" hidden="1">'ANOVA Run Cycle'!$B$2:$B$57</definedName>
    <definedName name="_xlchart.v1.2" hidden="1">'Pareto-Pod Brand'!$B$2:$B$57</definedName>
    <definedName name="_xlchart.v1.3" hidden="1">'Pareto-Pod Brand'!$C$1</definedName>
    <definedName name="_xlchart.v1.4" hidden="1">'Pareto-Pod Brand'!$C$2:$C$57</definedName>
    <definedName name="_xlchart.v1.5" hidden="1">'Regression - Pod Brand'!$L$3:$L$58</definedName>
    <definedName name="_xlchart.v1.6" hidden="1">'Regression - Pod Brand'!$M$2</definedName>
    <definedName name="_xlchart.v1.7" hidden="1">'Regression - Pod Brand'!$M$3:$M$58</definedName>
    <definedName name="_xlchart.v1.8" hidden="1">'Pareto-Cycle Type'!$C$2:$C$57</definedName>
    <definedName name="_xlchart.v1.9" hidden="1">'Pareto-Cycle Type'!$D$1</definedName>
  </definedNames>
  <calcPr calcId="191029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7" l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2" i="10"/>
  <c r="C17" i="1" l="1"/>
  <c r="B17" i="1"/>
</calcChain>
</file>

<file path=xl/sharedStrings.xml><?xml version="1.0" encoding="utf-8"?>
<sst xmlns="http://schemas.openxmlformats.org/spreadsheetml/2006/main" count="781" uniqueCount="134">
  <si>
    <t>Date</t>
  </si>
  <si>
    <t>No.of.dishes dirty</t>
  </si>
  <si>
    <t>No.of.Dishes Loaded</t>
  </si>
  <si>
    <t>Percentage - Y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</si>
  <si>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</si>
  <si>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</si>
  <si>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</si>
  <si>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</si>
  <si>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</si>
  <si>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</si>
  <si>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</si>
  <si>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</si>
  <si>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</si>
  <si>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</si>
  <si>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</si>
  <si>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</si>
  <si>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</si>
  <si>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</si>
  <si>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Descriptive Statistics</t>
  </si>
  <si>
    <t>Kolmogrov-Smirnov test for normality</t>
  </si>
  <si>
    <t>Summary Stats</t>
  </si>
  <si>
    <t>Sample Count</t>
  </si>
  <si>
    <t xml:space="preserve"> α</t>
  </si>
  <si>
    <t>Kolmogorov-Smirnov Results</t>
  </si>
  <si>
    <t>D-Statistic ( K-S Statistic)</t>
  </si>
  <si>
    <t>Critical Value</t>
  </si>
  <si>
    <t>Outcome</t>
  </si>
  <si>
    <t>P-Value</t>
  </si>
  <si>
    <t>Fail to Reject- Treat as Normal</t>
  </si>
  <si>
    <t>The data is right skewed which is evident from the Skewness metric=1.2353</t>
  </si>
  <si>
    <t>Kurtosis is within 1. Hence it is fairly normal</t>
  </si>
  <si>
    <t>total number of defects observed</t>
  </si>
  <si>
    <t xml:space="preserve">D = </t>
  </si>
  <si>
    <t>total number of units processed</t>
  </si>
  <si>
    <t xml:space="preserve">N = </t>
  </si>
  <si>
    <t>number of defect opportunities per unit</t>
  </si>
  <si>
    <t>O =</t>
  </si>
  <si>
    <t>Defects Per Opportunity</t>
  </si>
  <si>
    <t xml:space="preserve">DPO = </t>
  </si>
  <si>
    <t>Defects per Million Opportunities</t>
  </si>
  <si>
    <t>DPMO =</t>
  </si>
  <si>
    <t>Yield Rate</t>
  </si>
  <si>
    <t>Yield =</t>
  </si>
  <si>
    <t>Sigma Level</t>
  </si>
  <si>
    <t>Sigma Level=</t>
  </si>
  <si>
    <t>DPMO for no.of.defects</t>
  </si>
  <si>
    <t>Sigma level for % of defects</t>
  </si>
  <si>
    <t>DPMO not possible for cont data- Not possible for % of defects</t>
  </si>
  <si>
    <t>Smaller of the two:</t>
  </si>
  <si>
    <t>10.48%-LSL/8.23%</t>
  </si>
  <si>
    <t>USL-10.48%/8.23%</t>
  </si>
  <si>
    <t>Dishes on Top Rack</t>
  </si>
  <si>
    <t>Dishes on Bottom Rack</t>
  </si>
  <si>
    <t>No.of.dishes Scrubbed</t>
  </si>
  <si>
    <t>No.of.dishes greasy</t>
  </si>
  <si>
    <t>Dishwasher Setting(1/2/3 - Light/Normal/Heavy)</t>
  </si>
  <si>
    <t>Pod Brand</t>
  </si>
  <si>
    <t>Cascade</t>
  </si>
  <si>
    <t>Finish</t>
  </si>
  <si>
    <t>Row Labels</t>
  </si>
  <si>
    <t>Grand Total</t>
  </si>
  <si>
    <t>Average of Percentage - Y</t>
  </si>
  <si>
    <t>Setting type</t>
  </si>
  <si>
    <t>Setting Type - Char</t>
  </si>
  <si>
    <t>Light</t>
  </si>
  <si>
    <t>Normal</t>
  </si>
  <si>
    <t>Heavy</t>
  </si>
  <si>
    <t>Surprisingly, The cycle types Heavy and Normal have caused 80% of the defects!</t>
  </si>
  <si>
    <t>Cascade Brand causes the most % of defects.
Cascade causes 80% of defects.</t>
  </si>
  <si>
    <t>Regress all X onto Y</t>
  </si>
  <si>
    <t>Pop Brand Encoded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</si>
  <si>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</si>
  <si>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</si>
  <si>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</si>
  <si>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</si>
  <si>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</si>
  <si>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</si>
  <si>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</si>
  <si>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</si>
  <si>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</si>
  <si>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</si>
  <si>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</si>
  <si>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</si>
  <si>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</si>
  <si>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</si>
  <si>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</si>
  <si>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</si>
  <si>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</si>
  <si>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</si>
  <si>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</si>
  <si>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</si>
  <si>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</si>
  <si>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</si>
  <si>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</si>
  <si>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</si>
  <si>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</si>
  <si>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Percentage - Y</t>
  </si>
  <si>
    <t>Residuals</t>
  </si>
  <si>
    <t>Dishwasher Setting</t>
  </si>
  <si>
    <t>DOW</t>
  </si>
  <si>
    <t>Monday</t>
  </si>
  <si>
    <t>Tuesday</t>
  </si>
  <si>
    <t>Wednesday</t>
  </si>
  <si>
    <t>Thursday</t>
  </si>
  <si>
    <t>Friday</t>
  </si>
  <si>
    <t>Saturday</t>
  </si>
  <si>
    <t>Sunday</t>
  </si>
  <si>
    <t>Signif. codes:  0 '***' 0.001 '**' 0.01 '*' 0.05 '.' 0.1 ' ' 1</t>
  </si>
  <si>
    <t>Df</t>
  </si>
  <si>
    <t>Sum Sq</t>
  </si>
  <si>
    <t>Mean Sq</t>
  </si>
  <si>
    <t>F value</t>
  </si>
  <si>
    <t>Pr(&gt;F)</t>
  </si>
  <si>
    <t>*</t>
  </si>
  <si>
    <t>Brand</t>
  </si>
  <si>
    <t>Run Cycle</t>
  </si>
  <si>
    <t>LoadType</t>
  </si>
  <si>
    <t>.</t>
  </si>
  <si>
    <t>Tukey multiple comparisons of means</t>
  </si>
  <si>
    <t xml:space="preserve">    95% family-wise confidence level</t>
  </si>
  <si>
    <t>Fit: aov(formula = Percentage ~ LoadType, data = dish)</t>
  </si>
  <si>
    <t>$LoadType</t>
  </si>
  <si>
    <t xml:space="preserve">                    diff         lwr        upr     p adj</t>
  </si>
  <si>
    <t>Light-Heavy   0.02072857 -0.07454324 0.11600038 0.8596581</t>
  </si>
  <si>
    <t>Normal-Heavy -0.05190714 -0.11492352 0.01110924 0.1255556</t>
  </si>
  <si>
    <t>Normal-Light -0.07263571 -0.16488225 0.01961082 0.1490483</t>
  </si>
  <si>
    <t>Interpretation</t>
  </si>
  <si>
    <t>Poor performance</t>
  </si>
  <si>
    <t>Very poor performance</t>
  </si>
  <si>
    <t>Good performance</t>
  </si>
  <si>
    <t>Very Good performance</t>
  </si>
  <si>
    <t>Overall Cascade has higher defects</t>
  </si>
  <si>
    <t>Overall Finish has Lower defects</t>
  </si>
  <si>
    <t>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</si>
</sst>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color rgb="FF00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45">
    <xf numFmtId="0" fontId="0" fillId="0" borderId="0" xfId="0"/>
    <xf numFmtId="0" fontId="3" fillId="0" borderId="1" xfId="0" applyFont="1" applyBorder="1" applyAlignment="1">
      <alignment wrapText="1"/>
    </xf>
    <xf numFmtId="16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10" fontId="4" fillId="0" borderId="1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centerContinuous"/>
    </xf>
    <xf numFmtId="0" fontId="2" fillId="0" borderId="0" xfId="0" applyFont="1"/>
    <xf numFmtId="0" fontId="2" fillId="0" borderId="3" xfId="0" applyFont="1" applyBorder="1"/>
    <xf numFmtId="0" fontId="0" fillId="0" borderId="3" xfId="0" applyBorder="1"/>
    <xf numFmtId="164" fontId="4" fillId="0" borderId="1" xfId="0" applyNumberFormat="1" applyFont="1" applyBorder="1" applyAlignment="1">
      <alignment horizontal="right" wrapText="1"/>
    </xf>
    <xf numFmtId="0" fontId="8" fillId="3" borderId="6" xfId="2" applyFont="1" applyFill="1" applyBorder="1"/>
    <xf numFmtId="1" fontId="6" fillId="0" borderId="7" xfId="2" applyNumberFormat="1" applyBorder="1" applyAlignment="1">
      <alignment horizontal="center"/>
    </xf>
    <xf numFmtId="0" fontId="8" fillId="3" borderId="8" xfId="2" applyFont="1" applyFill="1" applyBorder="1"/>
    <xf numFmtId="2" fontId="6" fillId="0" borderId="9" xfId="2" applyNumberFormat="1" applyBorder="1" applyAlignment="1">
      <alignment horizontal="center"/>
    </xf>
    <xf numFmtId="0" fontId="8" fillId="3" borderId="10" xfId="2" applyFont="1" applyFill="1" applyBorder="1"/>
    <xf numFmtId="2" fontId="6" fillId="0" borderId="11" xfId="2" applyNumberFormat="1" applyBorder="1" applyAlignment="1">
      <alignment horizontal="center"/>
    </xf>
    <xf numFmtId="0" fontId="8" fillId="3" borderId="12" xfId="2" applyFont="1" applyFill="1" applyBorder="1"/>
    <xf numFmtId="165" fontId="6" fillId="0" borderId="7" xfId="2" applyNumberFormat="1" applyBorder="1" applyAlignment="1">
      <alignment horizontal="center"/>
    </xf>
    <xf numFmtId="0" fontId="8" fillId="3" borderId="13" xfId="2" applyFont="1" applyFill="1" applyBorder="1"/>
    <xf numFmtId="0" fontId="6" fillId="0" borderId="9" xfId="2" applyBorder="1" applyAlignment="1">
      <alignment horizontal="center"/>
    </xf>
    <xf numFmtId="0" fontId="9" fillId="0" borderId="9" xfId="2" applyFont="1" applyBorder="1" applyAlignment="1">
      <alignment horizontal="center"/>
    </xf>
    <xf numFmtId="0" fontId="8" fillId="3" borderId="14" xfId="2" applyFont="1" applyFill="1" applyBorder="1"/>
    <xf numFmtId="164" fontId="6" fillId="0" borderId="11" xfId="2" applyNumberFormat="1" applyBorder="1" applyAlignment="1">
      <alignment horizontal="center"/>
    </xf>
    <xf numFmtId="164" fontId="0" fillId="0" borderId="3" xfId="1" applyNumberFormat="1" applyFont="1" applyFill="1" applyBorder="1" applyAlignment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15" xfId="0" applyFont="1" applyBorder="1" applyAlignment="1">
      <alignment vertical="top" wrapText="1"/>
    </xf>
    <xf numFmtId="0" fontId="0" fillId="0" borderId="16" xfId="0" applyBorder="1"/>
    <xf numFmtId="0" fontId="5" fillId="0" borderId="2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11" fontId="0" fillId="5" borderId="3" xfId="0" applyNumberFormat="1" applyFill="1" applyBorder="1"/>
    <xf numFmtId="0" fontId="4" fillId="0" borderId="3" xfId="0" applyFont="1" applyBorder="1" applyAlignment="1">
      <alignment horizontal="right" wrapText="1"/>
    </xf>
    <xf numFmtId="164" fontId="0" fillId="0" borderId="0" xfId="0" applyNumberFormat="1"/>
    <xf numFmtId="0" fontId="0" fillId="0" borderId="3" xfId="0" pivotButton="1" applyBorder="1"/>
    <xf numFmtId="0" fontId="2" fillId="4" borderId="3" xfId="0" applyFont="1" applyFill="1" applyBorder="1"/>
    <xf numFmtId="0" fontId="0" fillId="0" borderId="3" xfId="0" applyBorder="1" applyAlignment="1">
      <alignment horizontal="left"/>
    </xf>
    <xf numFmtId="10" fontId="0" fillId="0" borderId="3" xfId="0" applyNumberFormat="1" applyBorder="1"/>
    <xf numFmtId="0" fontId="0" fillId="0" borderId="3" xfId="0" applyBorder="1" applyAlignment="1">
      <alignment horizontal="left" indent="1"/>
    </xf>
    <xf numFmtId="0" fontId="7" fillId="2" borderId="4" xfId="2" applyFont="1" applyFill="1" applyBorder="1" applyAlignment="1">
      <alignment horizontal="center"/>
    </xf>
    <xf numFmtId="0" fontId="7" fillId="2" borderId="5" xfId="2" applyFont="1" applyFill="1" applyBorder="1" applyAlignment="1">
      <alignment horizontal="center"/>
    </xf>
  </cellXfs>
  <cellStyles count="3">
    <cellStyle name="Normal" xfId="0" builtinId="0"/>
    <cellStyle name="Normal 3" xfId="2" xr:uid="{28EE11A1-6DF3-4550-A2AD-6E03F27EBEC7}"/>
    <cellStyle name="Percent" xfId="1" builtinId="5"/>
  </cellStyles>
  <dxfs count="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No.of.Dishes Loaded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Percentage - Y</c:v>
          </c:tx>
          <c:spPr>
            <a:ln w="19050">
              <a:noFill/>
            </a:ln>
          </c:spPr>
          <c:xVal>
            <c:numRef>
              <c:f>'Regression- All variables'!$A$3:$A$58</c:f>
              <c:numCache>
                <c:formatCode>General</c:formatCode>
                <c:ptCount val="56"/>
                <c:pt idx="0">
                  <c:v>44</c:v>
                </c:pt>
                <c:pt idx="1">
                  <c:v>39</c:v>
                </c:pt>
                <c:pt idx="2">
                  <c:v>26</c:v>
                </c:pt>
                <c:pt idx="3">
                  <c:v>39</c:v>
                </c:pt>
                <c:pt idx="4">
                  <c:v>40</c:v>
                </c:pt>
                <c:pt idx="5">
                  <c:v>31</c:v>
                </c:pt>
                <c:pt idx="6">
                  <c:v>43</c:v>
                </c:pt>
                <c:pt idx="7">
                  <c:v>48</c:v>
                </c:pt>
                <c:pt idx="8">
                  <c:v>25</c:v>
                </c:pt>
                <c:pt idx="9">
                  <c:v>40</c:v>
                </c:pt>
                <c:pt idx="10">
                  <c:v>42</c:v>
                </c:pt>
                <c:pt idx="11">
                  <c:v>47</c:v>
                </c:pt>
                <c:pt idx="12">
                  <c:v>28</c:v>
                </c:pt>
                <c:pt idx="13">
                  <c:v>49</c:v>
                </c:pt>
                <c:pt idx="14">
                  <c:v>41</c:v>
                </c:pt>
                <c:pt idx="15">
                  <c:v>29</c:v>
                </c:pt>
                <c:pt idx="16">
                  <c:v>34</c:v>
                </c:pt>
                <c:pt idx="17">
                  <c:v>22</c:v>
                </c:pt>
                <c:pt idx="18">
                  <c:v>45</c:v>
                </c:pt>
                <c:pt idx="19">
                  <c:v>32</c:v>
                </c:pt>
                <c:pt idx="20">
                  <c:v>39</c:v>
                </c:pt>
                <c:pt idx="21">
                  <c:v>33</c:v>
                </c:pt>
                <c:pt idx="22">
                  <c:v>22</c:v>
                </c:pt>
                <c:pt idx="23">
                  <c:v>38</c:v>
                </c:pt>
                <c:pt idx="24">
                  <c:v>31</c:v>
                </c:pt>
                <c:pt idx="25">
                  <c:v>15</c:v>
                </c:pt>
                <c:pt idx="26">
                  <c:v>43</c:v>
                </c:pt>
                <c:pt idx="27">
                  <c:v>38</c:v>
                </c:pt>
                <c:pt idx="28">
                  <c:v>39</c:v>
                </c:pt>
                <c:pt idx="29">
                  <c:v>44</c:v>
                </c:pt>
                <c:pt idx="30">
                  <c:v>30</c:v>
                </c:pt>
                <c:pt idx="31">
                  <c:v>39</c:v>
                </c:pt>
                <c:pt idx="32">
                  <c:v>46</c:v>
                </c:pt>
                <c:pt idx="33">
                  <c:v>46</c:v>
                </c:pt>
                <c:pt idx="34">
                  <c:v>32</c:v>
                </c:pt>
                <c:pt idx="35">
                  <c:v>52</c:v>
                </c:pt>
                <c:pt idx="36">
                  <c:v>28</c:v>
                </c:pt>
                <c:pt idx="37">
                  <c:v>41</c:v>
                </c:pt>
                <c:pt idx="38">
                  <c:v>18</c:v>
                </c:pt>
                <c:pt idx="39">
                  <c:v>33</c:v>
                </c:pt>
                <c:pt idx="40">
                  <c:v>30</c:v>
                </c:pt>
                <c:pt idx="41">
                  <c:v>42</c:v>
                </c:pt>
                <c:pt idx="42">
                  <c:v>38</c:v>
                </c:pt>
                <c:pt idx="43">
                  <c:v>48</c:v>
                </c:pt>
                <c:pt idx="44">
                  <c:v>45</c:v>
                </c:pt>
                <c:pt idx="45">
                  <c:v>20</c:v>
                </c:pt>
                <c:pt idx="46">
                  <c:v>48</c:v>
                </c:pt>
                <c:pt idx="47">
                  <c:v>44</c:v>
                </c:pt>
                <c:pt idx="48">
                  <c:v>25</c:v>
                </c:pt>
                <c:pt idx="49">
                  <c:v>49</c:v>
                </c:pt>
                <c:pt idx="50">
                  <c:v>23</c:v>
                </c:pt>
                <c:pt idx="51">
                  <c:v>31</c:v>
                </c:pt>
                <c:pt idx="52">
                  <c:v>28</c:v>
                </c:pt>
                <c:pt idx="53">
                  <c:v>53</c:v>
                </c:pt>
                <c:pt idx="54">
                  <c:v>44</c:v>
                </c:pt>
                <c:pt idx="55">
                  <c:v>37</c:v>
                </c:pt>
              </c:numCache>
            </c:numRef>
          </c:xVal>
          <c:yVal>
            <c:numRef>
              <c:f>'Regression- All variables'!$H$3:$H$58</c:f>
              <c:numCache>
                <c:formatCode>0.0000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FA-4B23-8A0E-F6F217F56DFD}"/>
            </c:ext>
          </c:extLst>
        </c:ser>
        <c:ser>
          <c:idx val="1"/>
          <c:order val="1"/>
          <c:tx>
            <c:v>Predicted Percentage - Y</c:v>
          </c:tx>
          <c:spPr>
            <a:ln w="19050">
              <a:noFill/>
            </a:ln>
          </c:spPr>
          <c:xVal>
            <c:numRef>
              <c:f>'Regression- All variables'!$A$3:$A$58</c:f>
              <c:numCache>
                <c:formatCode>General</c:formatCode>
                <c:ptCount val="56"/>
                <c:pt idx="0">
                  <c:v>44</c:v>
                </c:pt>
                <c:pt idx="1">
                  <c:v>39</c:v>
                </c:pt>
                <c:pt idx="2">
                  <c:v>26</c:v>
                </c:pt>
                <c:pt idx="3">
                  <c:v>39</c:v>
                </c:pt>
                <c:pt idx="4">
                  <c:v>40</c:v>
                </c:pt>
                <c:pt idx="5">
                  <c:v>31</c:v>
                </c:pt>
                <c:pt idx="6">
                  <c:v>43</c:v>
                </c:pt>
                <c:pt idx="7">
                  <c:v>48</c:v>
                </c:pt>
                <c:pt idx="8">
                  <c:v>25</c:v>
                </c:pt>
                <c:pt idx="9">
                  <c:v>40</c:v>
                </c:pt>
                <c:pt idx="10">
                  <c:v>42</c:v>
                </c:pt>
                <c:pt idx="11">
                  <c:v>47</c:v>
                </c:pt>
                <c:pt idx="12">
                  <c:v>28</c:v>
                </c:pt>
                <c:pt idx="13">
                  <c:v>49</c:v>
                </c:pt>
                <c:pt idx="14">
                  <c:v>41</c:v>
                </c:pt>
                <c:pt idx="15">
                  <c:v>29</c:v>
                </c:pt>
                <c:pt idx="16">
                  <c:v>34</c:v>
                </c:pt>
                <c:pt idx="17">
                  <c:v>22</c:v>
                </c:pt>
                <c:pt idx="18">
                  <c:v>45</c:v>
                </c:pt>
                <c:pt idx="19">
                  <c:v>32</c:v>
                </c:pt>
                <c:pt idx="20">
                  <c:v>39</c:v>
                </c:pt>
                <c:pt idx="21">
                  <c:v>33</c:v>
                </c:pt>
                <c:pt idx="22">
                  <c:v>22</c:v>
                </c:pt>
                <c:pt idx="23">
                  <c:v>38</c:v>
                </c:pt>
                <c:pt idx="24">
                  <c:v>31</c:v>
                </c:pt>
                <c:pt idx="25">
                  <c:v>15</c:v>
                </c:pt>
                <c:pt idx="26">
                  <c:v>43</c:v>
                </c:pt>
                <c:pt idx="27">
                  <c:v>38</c:v>
                </c:pt>
                <c:pt idx="28">
                  <c:v>39</c:v>
                </c:pt>
                <c:pt idx="29">
                  <c:v>44</c:v>
                </c:pt>
                <c:pt idx="30">
                  <c:v>30</c:v>
                </c:pt>
                <c:pt idx="31">
                  <c:v>39</c:v>
                </c:pt>
                <c:pt idx="32">
                  <c:v>46</c:v>
                </c:pt>
                <c:pt idx="33">
                  <c:v>46</c:v>
                </c:pt>
                <c:pt idx="34">
                  <c:v>32</c:v>
                </c:pt>
                <c:pt idx="35">
                  <c:v>52</c:v>
                </c:pt>
                <c:pt idx="36">
                  <c:v>28</c:v>
                </c:pt>
                <c:pt idx="37">
                  <c:v>41</c:v>
                </c:pt>
                <c:pt idx="38">
                  <c:v>18</c:v>
                </c:pt>
                <c:pt idx="39">
                  <c:v>33</c:v>
                </c:pt>
                <c:pt idx="40">
                  <c:v>30</c:v>
                </c:pt>
                <c:pt idx="41">
                  <c:v>42</c:v>
                </c:pt>
                <c:pt idx="42">
                  <c:v>38</c:v>
                </c:pt>
                <c:pt idx="43">
                  <c:v>48</c:v>
                </c:pt>
                <c:pt idx="44">
                  <c:v>45</c:v>
                </c:pt>
                <c:pt idx="45">
                  <c:v>20</c:v>
                </c:pt>
                <c:pt idx="46">
                  <c:v>48</c:v>
                </c:pt>
                <c:pt idx="47">
                  <c:v>44</c:v>
                </c:pt>
                <c:pt idx="48">
                  <c:v>25</c:v>
                </c:pt>
                <c:pt idx="49">
                  <c:v>49</c:v>
                </c:pt>
                <c:pt idx="50">
                  <c:v>23</c:v>
                </c:pt>
                <c:pt idx="51">
                  <c:v>31</c:v>
                </c:pt>
                <c:pt idx="52">
                  <c:v>28</c:v>
                </c:pt>
                <c:pt idx="53">
                  <c:v>53</c:v>
                </c:pt>
                <c:pt idx="54">
                  <c:v>44</c:v>
                </c:pt>
                <c:pt idx="55">
                  <c:v>37</c:v>
                </c:pt>
              </c:numCache>
            </c:numRef>
          </c:xVal>
          <c:yVal>
            <c:numRef>
              <c:f>'Regression- All variables'!$L$35:$L$90</c:f>
              <c:numCache>
                <c:formatCode>General</c:formatCode>
                <c:ptCount val="56"/>
                <c:pt idx="0">
                  <c:v>0.12427097667931192</c:v>
                </c:pt>
                <c:pt idx="1">
                  <c:v>0.11153943542670272</c:v>
                </c:pt>
                <c:pt idx="2">
                  <c:v>2.7441086221925006E-2</c:v>
                </c:pt>
                <c:pt idx="3">
                  <c:v>5.8088609924418604E-2</c:v>
                </c:pt>
                <c:pt idx="4">
                  <c:v>6.3243884120674415E-2</c:v>
                </c:pt>
                <c:pt idx="5">
                  <c:v>3.2300000000000384E-2</c:v>
                </c:pt>
                <c:pt idx="6">
                  <c:v>7.0306059462860046E-2</c:v>
                </c:pt>
                <c:pt idx="7">
                  <c:v>8.1266413338509674E-2</c:v>
                </c:pt>
                <c:pt idx="8">
                  <c:v>8.2892167813239409E-2</c:v>
                </c:pt>
                <c:pt idx="9">
                  <c:v>0.10883574510535346</c:v>
                </c:pt>
                <c:pt idx="10">
                  <c:v>6.3817425743037115E-2</c:v>
                </c:pt>
                <c:pt idx="11">
                  <c:v>0.12211967782846256</c:v>
                </c:pt>
                <c:pt idx="12">
                  <c:v>8.0452350342124418E-2</c:v>
                </c:pt>
                <c:pt idx="13">
                  <c:v>2.141380752887154E-2</c:v>
                </c:pt>
                <c:pt idx="14">
                  <c:v>0.14352979652523795</c:v>
                </c:pt>
                <c:pt idx="15">
                  <c:v>5.0175212069518506E-2</c:v>
                </c:pt>
                <c:pt idx="16">
                  <c:v>0.1044480930834977</c:v>
                </c:pt>
                <c:pt idx="17">
                  <c:v>9.1072941178017591E-2</c:v>
                </c:pt>
                <c:pt idx="18">
                  <c:v>0.14461135911726516</c:v>
                </c:pt>
                <c:pt idx="19">
                  <c:v>7.8093595092517482E-2</c:v>
                </c:pt>
                <c:pt idx="20">
                  <c:v>5.324910379888563E-2</c:v>
                </c:pt>
                <c:pt idx="21">
                  <c:v>6.2856437576514587E-2</c:v>
                </c:pt>
                <c:pt idx="22">
                  <c:v>5.3516601987258446E-2</c:v>
                </c:pt>
                <c:pt idx="23">
                  <c:v>8.9972394286950003E-2</c:v>
                </c:pt>
                <c:pt idx="24">
                  <c:v>0.11247940316133237</c:v>
                </c:pt>
                <c:pt idx="25">
                  <c:v>0.13488008347793107</c:v>
                </c:pt>
                <c:pt idx="26">
                  <c:v>-1.4549415472499036E-2</c:v>
                </c:pt>
                <c:pt idx="27">
                  <c:v>6.6928321527647439E-2</c:v>
                </c:pt>
                <c:pt idx="28">
                  <c:v>8.7892839473157069E-2</c:v>
                </c:pt>
                <c:pt idx="29">
                  <c:v>0.14681907301232211</c:v>
                </c:pt>
                <c:pt idx="30">
                  <c:v>3.8581494399327322E-2</c:v>
                </c:pt>
                <c:pt idx="31">
                  <c:v>0.1371342381949732</c:v>
                </c:pt>
                <c:pt idx="32">
                  <c:v>4.9053208326223695E-2</c:v>
                </c:pt>
                <c:pt idx="33">
                  <c:v>7.883613366928266E-2</c:v>
                </c:pt>
                <c:pt idx="34">
                  <c:v>9.1650753038609853E-2</c:v>
                </c:pt>
                <c:pt idx="35">
                  <c:v>8.8319455925382526E-2</c:v>
                </c:pt>
                <c:pt idx="36">
                  <c:v>5.6757048085894268E-2</c:v>
                </c:pt>
                <c:pt idx="37">
                  <c:v>8.9927899700350838E-2</c:v>
                </c:pt>
                <c:pt idx="38">
                  <c:v>1.4386068157069883E-2</c:v>
                </c:pt>
                <c:pt idx="39">
                  <c:v>0.13453923180957328</c:v>
                </c:pt>
                <c:pt idx="40">
                  <c:v>3.7377165782372102E-4</c:v>
                </c:pt>
                <c:pt idx="41">
                  <c:v>6.4804426181072211E-2</c:v>
                </c:pt>
                <c:pt idx="42">
                  <c:v>4.6903861214233955E-2</c:v>
                </c:pt>
                <c:pt idx="43">
                  <c:v>0.14621020093399514</c:v>
                </c:pt>
                <c:pt idx="44">
                  <c:v>5.9168438987753404E-2</c:v>
                </c:pt>
                <c:pt idx="45">
                  <c:v>5.5797669362300364E-2</c:v>
                </c:pt>
                <c:pt idx="46">
                  <c:v>6.6252072589435315E-2</c:v>
                </c:pt>
                <c:pt idx="47">
                  <c:v>6.4081298593271344E-2</c:v>
                </c:pt>
                <c:pt idx="48">
                  <c:v>0.16208725937073756</c:v>
                </c:pt>
                <c:pt idx="49">
                  <c:v>9.3955443118701326E-2</c:v>
                </c:pt>
                <c:pt idx="50">
                  <c:v>0.13646344365526447</c:v>
                </c:pt>
                <c:pt idx="51">
                  <c:v>1.4082002333788188E-2</c:v>
                </c:pt>
                <c:pt idx="52">
                  <c:v>9.3300130218389149E-2</c:v>
                </c:pt>
                <c:pt idx="53">
                  <c:v>0.18096661405013395</c:v>
                </c:pt>
                <c:pt idx="54">
                  <c:v>-2.5912763095324552E-2</c:v>
                </c:pt>
                <c:pt idx="55">
                  <c:v>8.4817120090694142E-2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FA-4B23-8A0E-F6F217F56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17951"/>
        <c:axId val="218512671"/>
      </c:scatterChart>
      <c:valAx>
        <c:axId val="2185179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No.of.Dishes Loaded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512671"/>
        <c:crosses val="autoZero"/>
        <c:crossBetween val="midCat"/>
      </c:valAx>
      <c:valAx>
        <c:axId val="218512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Percentage - Y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2185179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Dishes on Top Rack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Percentage - Y</c:v>
          </c:tx>
          <c:spPr>
            <a:ln w="19050">
              <a:noFill/>
            </a:ln>
          </c:spPr>
          <c:xVal>
            <c:numRef>
              <c:f>'Regression- All variables'!$B$3:$B$58</c:f>
              <c:numCache>
                <c:formatCode>General</c:formatCode>
                <c:ptCount val="56"/>
                <c:pt idx="0">
                  <c:v>13</c:v>
                </c:pt>
                <c:pt idx="1">
                  <c:v>9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9</c:v>
                </c:pt>
                <c:pt idx="9">
                  <c:v>12</c:v>
                </c:pt>
                <c:pt idx="10">
                  <c:v>14</c:v>
                </c:pt>
                <c:pt idx="11">
                  <c:v>17</c:v>
                </c:pt>
                <c:pt idx="12">
                  <c:v>12</c:v>
                </c:pt>
                <c:pt idx="13">
                  <c:v>17</c:v>
                </c:pt>
                <c:pt idx="14">
                  <c:v>15</c:v>
                </c:pt>
                <c:pt idx="15">
                  <c:v>13</c:v>
                </c:pt>
                <c:pt idx="16">
                  <c:v>11</c:v>
                </c:pt>
                <c:pt idx="17">
                  <c:v>4</c:v>
                </c:pt>
                <c:pt idx="18">
                  <c:v>12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5</c:v>
                </c:pt>
                <c:pt idx="26">
                  <c:v>18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  <c:pt idx="30">
                  <c:v>11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12</c:v>
                </c:pt>
                <c:pt idx="35">
                  <c:v>17</c:v>
                </c:pt>
                <c:pt idx="36">
                  <c:v>9</c:v>
                </c:pt>
                <c:pt idx="37">
                  <c:v>13</c:v>
                </c:pt>
                <c:pt idx="38">
                  <c:v>8</c:v>
                </c:pt>
                <c:pt idx="39">
                  <c:v>10</c:v>
                </c:pt>
                <c:pt idx="40">
                  <c:v>13</c:v>
                </c:pt>
                <c:pt idx="41">
                  <c:v>16</c:v>
                </c:pt>
                <c:pt idx="42">
                  <c:v>14</c:v>
                </c:pt>
                <c:pt idx="43">
                  <c:v>14</c:v>
                </c:pt>
                <c:pt idx="44">
                  <c:v>17</c:v>
                </c:pt>
                <c:pt idx="45">
                  <c:v>7</c:v>
                </c:pt>
                <c:pt idx="46">
                  <c:v>16</c:v>
                </c:pt>
                <c:pt idx="47">
                  <c:v>14</c:v>
                </c:pt>
                <c:pt idx="48">
                  <c:v>5</c:v>
                </c:pt>
                <c:pt idx="49">
                  <c:v>16</c:v>
                </c:pt>
                <c:pt idx="50">
                  <c:v>5</c:v>
                </c:pt>
                <c:pt idx="51">
                  <c:v>12</c:v>
                </c:pt>
                <c:pt idx="52">
                  <c:v>10</c:v>
                </c:pt>
                <c:pt idx="53">
                  <c:v>11</c:v>
                </c:pt>
                <c:pt idx="54">
                  <c:v>19</c:v>
                </c:pt>
                <c:pt idx="55">
                  <c:v>10</c:v>
                </c:pt>
              </c:numCache>
            </c:numRef>
          </c:xVal>
          <c:yVal>
            <c:numRef>
              <c:f>'Regression- All variables'!$H$3:$H$58</c:f>
              <c:numCache>
                <c:formatCode>0.0000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9C-472D-B754-1A97BD434AC5}"/>
            </c:ext>
          </c:extLst>
        </c:ser>
        <c:ser>
          <c:idx val="1"/>
          <c:order val="1"/>
          <c:tx>
            <c:v>Predicted Percentage - Y</c:v>
          </c:tx>
          <c:spPr>
            <a:ln w="19050">
              <a:noFill/>
            </a:ln>
          </c:spPr>
          <c:xVal>
            <c:numRef>
              <c:f>'Regression- All variables'!$B$3:$B$58</c:f>
              <c:numCache>
                <c:formatCode>General</c:formatCode>
                <c:ptCount val="56"/>
                <c:pt idx="0">
                  <c:v>13</c:v>
                </c:pt>
                <c:pt idx="1">
                  <c:v>9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9</c:v>
                </c:pt>
                <c:pt idx="9">
                  <c:v>12</c:v>
                </c:pt>
                <c:pt idx="10">
                  <c:v>14</c:v>
                </c:pt>
                <c:pt idx="11">
                  <c:v>17</c:v>
                </c:pt>
                <c:pt idx="12">
                  <c:v>12</c:v>
                </c:pt>
                <c:pt idx="13">
                  <c:v>17</c:v>
                </c:pt>
                <c:pt idx="14">
                  <c:v>15</c:v>
                </c:pt>
                <c:pt idx="15">
                  <c:v>13</c:v>
                </c:pt>
                <c:pt idx="16">
                  <c:v>11</c:v>
                </c:pt>
                <c:pt idx="17">
                  <c:v>4</c:v>
                </c:pt>
                <c:pt idx="18">
                  <c:v>12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5</c:v>
                </c:pt>
                <c:pt idx="26">
                  <c:v>18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  <c:pt idx="30">
                  <c:v>11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12</c:v>
                </c:pt>
                <c:pt idx="35">
                  <c:v>17</c:v>
                </c:pt>
                <c:pt idx="36">
                  <c:v>9</c:v>
                </c:pt>
                <c:pt idx="37">
                  <c:v>13</c:v>
                </c:pt>
                <c:pt idx="38">
                  <c:v>8</c:v>
                </c:pt>
                <c:pt idx="39">
                  <c:v>10</c:v>
                </c:pt>
                <c:pt idx="40">
                  <c:v>13</c:v>
                </c:pt>
                <c:pt idx="41">
                  <c:v>16</c:v>
                </c:pt>
                <c:pt idx="42">
                  <c:v>14</c:v>
                </c:pt>
                <c:pt idx="43">
                  <c:v>14</c:v>
                </c:pt>
                <c:pt idx="44">
                  <c:v>17</c:v>
                </c:pt>
                <c:pt idx="45">
                  <c:v>7</c:v>
                </c:pt>
                <c:pt idx="46">
                  <c:v>16</c:v>
                </c:pt>
                <c:pt idx="47">
                  <c:v>14</c:v>
                </c:pt>
                <c:pt idx="48">
                  <c:v>5</c:v>
                </c:pt>
                <c:pt idx="49">
                  <c:v>16</c:v>
                </c:pt>
                <c:pt idx="50">
                  <c:v>5</c:v>
                </c:pt>
                <c:pt idx="51">
                  <c:v>12</c:v>
                </c:pt>
                <c:pt idx="52">
                  <c:v>10</c:v>
                </c:pt>
                <c:pt idx="53">
                  <c:v>11</c:v>
                </c:pt>
                <c:pt idx="54">
                  <c:v>19</c:v>
                </c:pt>
                <c:pt idx="55">
                  <c:v>10</c:v>
                </c:pt>
              </c:numCache>
            </c:numRef>
          </c:xVal>
          <c:yVal>
            <c:numRef>
              <c:f>'Regression- All variables'!$L$35:$L$90</c:f>
              <c:numCache>
                <c:formatCode>General</c:formatCode>
                <c:ptCount val="56"/>
                <c:pt idx="0">
                  <c:v>0.12427097667931192</c:v>
                </c:pt>
                <c:pt idx="1">
                  <c:v>0.11153943542670272</c:v>
                </c:pt>
                <c:pt idx="2">
                  <c:v>2.7441086221925006E-2</c:v>
                </c:pt>
                <c:pt idx="3">
                  <c:v>5.8088609924418604E-2</c:v>
                </c:pt>
                <c:pt idx="4">
                  <c:v>6.3243884120674415E-2</c:v>
                </c:pt>
                <c:pt idx="5">
                  <c:v>3.2300000000000384E-2</c:v>
                </c:pt>
                <c:pt idx="6">
                  <c:v>7.0306059462860046E-2</c:v>
                </c:pt>
                <c:pt idx="7">
                  <c:v>8.1266413338509674E-2</c:v>
                </c:pt>
                <c:pt idx="8">
                  <c:v>8.2892167813239409E-2</c:v>
                </c:pt>
                <c:pt idx="9">
                  <c:v>0.10883574510535346</c:v>
                </c:pt>
                <c:pt idx="10">
                  <c:v>6.3817425743037115E-2</c:v>
                </c:pt>
                <c:pt idx="11">
                  <c:v>0.12211967782846256</c:v>
                </c:pt>
                <c:pt idx="12">
                  <c:v>8.0452350342124418E-2</c:v>
                </c:pt>
                <c:pt idx="13">
                  <c:v>2.141380752887154E-2</c:v>
                </c:pt>
                <c:pt idx="14">
                  <c:v>0.14352979652523795</c:v>
                </c:pt>
                <c:pt idx="15">
                  <c:v>5.0175212069518506E-2</c:v>
                </c:pt>
                <c:pt idx="16">
                  <c:v>0.1044480930834977</c:v>
                </c:pt>
                <c:pt idx="17">
                  <c:v>9.1072941178017591E-2</c:v>
                </c:pt>
                <c:pt idx="18">
                  <c:v>0.14461135911726516</c:v>
                </c:pt>
                <c:pt idx="19">
                  <c:v>7.8093595092517482E-2</c:v>
                </c:pt>
                <c:pt idx="20">
                  <c:v>5.324910379888563E-2</c:v>
                </c:pt>
                <c:pt idx="21">
                  <c:v>6.2856437576514587E-2</c:v>
                </c:pt>
                <c:pt idx="22">
                  <c:v>5.3516601987258446E-2</c:v>
                </c:pt>
                <c:pt idx="23">
                  <c:v>8.9972394286950003E-2</c:v>
                </c:pt>
                <c:pt idx="24">
                  <c:v>0.11247940316133237</c:v>
                </c:pt>
                <c:pt idx="25">
                  <c:v>0.13488008347793107</c:v>
                </c:pt>
                <c:pt idx="26">
                  <c:v>-1.4549415472499036E-2</c:v>
                </c:pt>
                <c:pt idx="27">
                  <c:v>6.6928321527647439E-2</c:v>
                </c:pt>
                <c:pt idx="28">
                  <c:v>8.7892839473157069E-2</c:v>
                </c:pt>
                <c:pt idx="29">
                  <c:v>0.14681907301232211</c:v>
                </c:pt>
                <c:pt idx="30">
                  <c:v>3.8581494399327322E-2</c:v>
                </c:pt>
                <c:pt idx="31">
                  <c:v>0.1371342381949732</c:v>
                </c:pt>
                <c:pt idx="32">
                  <c:v>4.9053208326223695E-2</c:v>
                </c:pt>
                <c:pt idx="33">
                  <c:v>7.883613366928266E-2</c:v>
                </c:pt>
                <c:pt idx="34">
                  <c:v>9.1650753038609853E-2</c:v>
                </c:pt>
                <c:pt idx="35">
                  <c:v>8.8319455925382526E-2</c:v>
                </c:pt>
                <c:pt idx="36">
                  <c:v>5.6757048085894268E-2</c:v>
                </c:pt>
                <c:pt idx="37">
                  <c:v>8.9927899700350838E-2</c:v>
                </c:pt>
                <c:pt idx="38">
                  <c:v>1.4386068157069883E-2</c:v>
                </c:pt>
                <c:pt idx="39">
                  <c:v>0.13453923180957328</c:v>
                </c:pt>
                <c:pt idx="40">
                  <c:v>3.7377165782372102E-4</c:v>
                </c:pt>
                <c:pt idx="41">
                  <c:v>6.4804426181072211E-2</c:v>
                </c:pt>
                <c:pt idx="42">
                  <c:v>4.6903861214233955E-2</c:v>
                </c:pt>
                <c:pt idx="43">
                  <c:v>0.14621020093399514</c:v>
                </c:pt>
                <c:pt idx="44">
                  <c:v>5.9168438987753404E-2</c:v>
                </c:pt>
                <c:pt idx="45">
                  <c:v>5.5797669362300364E-2</c:v>
                </c:pt>
                <c:pt idx="46">
                  <c:v>6.6252072589435315E-2</c:v>
                </c:pt>
                <c:pt idx="47">
                  <c:v>6.4081298593271344E-2</c:v>
                </c:pt>
                <c:pt idx="48">
                  <c:v>0.16208725937073756</c:v>
                </c:pt>
                <c:pt idx="49">
                  <c:v>9.3955443118701326E-2</c:v>
                </c:pt>
                <c:pt idx="50">
                  <c:v>0.13646344365526447</c:v>
                </c:pt>
                <c:pt idx="51">
                  <c:v>1.4082002333788188E-2</c:v>
                </c:pt>
                <c:pt idx="52">
                  <c:v>9.3300130218389149E-2</c:v>
                </c:pt>
                <c:pt idx="53">
                  <c:v>0.18096661405013395</c:v>
                </c:pt>
                <c:pt idx="54">
                  <c:v>-2.5912763095324552E-2</c:v>
                </c:pt>
                <c:pt idx="55">
                  <c:v>8.4817120090694142E-2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49C-472D-B754-1A97BD434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20831"/>
        <c:axId val="218542431"/>
      </c:scatterChart>
      <c:valAx>
        <c:axId val="218520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Dishes on Top Rack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542431"/>
        <c:crosses val="autoZero"/>
        <c:crossBetween val="midCat"/>
      </c:valAx>
      <c:valAx>
        <c:axId val="218542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Percentage - Y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2185208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Dishes on Bottom Rack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Percentage - Y</c:v>
          </c:tx>
          <c:spPr>
            <a:ln w="19050">
              <a:noFill/>
            </a:ln>
          </c:spPr>
          <c:xVal>
            <c:numRef>
              <c:f>'Regression- All variables'!$C$3:$C$58</c:f>
              <c:numCache>
                <c:formatCode>General</c:formatCode>
                <c:ptCount val="56"/>
                <c:pt idx="0">
                  <c:v>31</c:v>
                </c:pt>
                <c:pt idx="1">
                  <c:v>30</c:v>
                </c:pt>
                <c:pt idx="2">
                  <c:v>16</c:v>
                </c:pt>
                <c:pt idx="3">
                  <c:v>25</c:v>
                </c:pt>
                <c:pt idx="4">
                  <c:v>25</c:v>
                </c:pt>
                <c:pt idx="5">
                  <c:v>24</c:v>
                </c:pt>
                <c:pt idx="6">
                  <c:v>25</c:v>
                </c:pt>
                <c:pt idx="7">
                  <c:v>28</c:v>
                </c:pt>
                <c:pt idx="8">
                  <c:v>16</c:v>
                </c:pt>
                <c:pt idx="9">
                  <c:v>28</c:v>
                </c:pt>
                <c:pt idx="10">
                  <c:v>28</c:v>
                </c:pt>
                <c:pt idx="11">
                  <c:v>30</c:v>
                </c:pt>
                <c:pt idx="12">
                  <c:v>16</c:v>
                </c:pt>
                <c:pt idx="13">
                  <c:v>32</c:v>
                </c:pt>
                <c:pt idx="14">
                  <c:v>26</c:v>
                </c:pt>
                <c:pt idx="15">
                  <c:v>16</c:v>
                </c:pt>
                <c:pt idx="16">
                  <c:v>23</c:v>
                </c:pt>
                <c:pt idx="17">
                  <c:v>18</c:v>
                </c:pt>
                <c:pt idx="18">
                  <c:v>33</c:v>
                </c:pt>
                <c:pt idx="19">
                  <c:v>23</c:v>
                </c:pt>
                <c:pt idx="20">
                  <c:v>27</c:v>
                </c:pt>
                <c:pt idx="21">
                  <c:v>20</c:v>
                </c:pt>
                <c:pt idx="22">
                  <c:v>10</c:v>
                </c:pt>
                <c:pt idx="23">
                  <c:v>27</c:v>
                </c:pt>
                <c:pt idx="24">
                  <c:v>22</c:v>
                </c:pt>
                <c:pt idx="25">
                  <c:v>10</c:v>
                </c:pt>
                <c:pt idx="26">
                  <c:v>25</c:v>
                </c:pt>
                <c:pt idx="27">
                  <c:v>23</c:v>
                </c:pt>
                <c:pt idx="28">
                  <c:v>28</c:v>
                </c:pt>
                <c:pt idx="29">
                  <c:v>32</c:v>
                </c:pt>
                <c:pt idx="30">
                  <c:v>19</c:v>
                </c:pt>
                <c:pt idx="31">
                  <c:v>26</c:v>
                </c:pt>
                <c:pt idx="32">
                  <c:v>33</c:v>
                </c:pt>
                <c:pt idx="33">
                  <c:v>33</c:v>
                </c:pt>
                <c:pt idx="34">
                  <c:v>20</c:v>
                </c:pt>
                <c:pt idx="35">
                  <c:v>35</c:v>
                </c:pt>
                <c:pt idx="36">
                  <c:v>19</c:v>
                </c:pt>
                <c:pt idx="37">
                  <c:v>28</c:v>
                </c:pt>
                <c:pt idx="38">
                  <c:v>10</c:v>
                </c:pt>
                <c:pt idx="39">
                  <c:v>23</c:v>
                </c:pt>
                <c:pt idx="40">
                  <c:v>17</c:v>
                </c:pt>
                <c:pt idx="41">
                  <c:v>26</c:v>
                </c:pt>
                <c:pt idx="42">
                  <c:v>24</c:v>
                </c:pt>
                <c:pt idx="43">
                  <c:v>34</c:v>
                </c:pt>
                <c:pt idx="44">
                  <c:v>28</c:v>
                </c:pt>
                <c:pt idx="45">
                  <c:v>13</c:v>
                </c:pt>
                <c:pt idx="46">
                  <c:v>32</c:v>
                </c:pt>
                <c:pt idx="47">
                  <c:v>30</c:v>
                </c:pt>
                <c:pt idx="48">
                  <c:v>20</c:v>
                </c:pt>
                <c:pt idx="49">
                  <c:v>33</c:v>
                </c:pt>
                <c:pt idx="50">
                  <c:v>18</c:v>
                </c:pt>
                <c:pt idx="51">
                  <c:v>19</c:v>
                </c:pt>
                <c:pt idx="52">
                  <c:v>18</c:v>
                </c:pt>
                <c:pt idx="53">
                  <c:v>42</c:v>
                </c:pt>
                <c:pt idx="54">
                  <c:v>25</c:v>
                </c:pt>
                <c:pt idx="55">
                  <c:v>27</c:v>
                </c:pt>
              </c:numCache>
            </c:numRef>
          </c:xVal>
          <c:yVal>
            <c:numRef>
              <c:f>'Regression- All variables'!$H$3:$H$58</c:f>
              <c:numCache>
                <c:formatCode>0.0000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3F-4F85-8959-7B33F86FBA1D}"/>
            </c:ext>
          </c:extLst>
        </c:ser>
        <c:ser>
          <c:idx val="1"/>
          <c:order val="1"/>
          <c:tx>
            <c:v>Predicted Percentage - Y</c:v>
          </c:tx>
          <c:spPr>
            <a:ln w="19050">
              <a:noFill/>
            </a:ln>
          </c:spPr>
          <c:xVal>
            <c:numRef>
              <c:f>'Regression- All variables'!$C$3:$C$58</c:f>
              <c:numCache>
                <c:formatCode>General</c:formatCode>
                <c:ptCount val="56"/>
                <c:pt idx="0">
                  <c:v>31</c:v>
                </c:pt>
                <c:pt idx="1">
                  <c:v>30</c:v>
                </c:pt>
                <c:pt idx="2">
                  <c:v>16</c:v>
                </c:pt>
                <c:pt idx="3">
                  <c:v>25</c:v>
                </c:pt>
                <c:pt idx="4">
                  <c:v>25</c:v>
                </c:pt>
                <c:pt idx="5">
                  <c:v>24</c:v>
                </c:pt>
                <c:pt idx="6">
                  <c:v>25</c:v>
                </c:pt>
                <c:pt idx="7">
                  <c:v>28</c:v>
                </c:pt>
                <c:pt idx="8">
                  <c:v>16</c:v>
                </c:pt>
                <c:pt idx="9">
                  <c:v>28</c:v>
                </c:pt>
                <c:pt idx="10">
                  <c:v>28</c:v>
                </c:pt>
                <c:pt idx="11">
                  <c:v>30</c:v>
                </c:pt>
                <c:pt idx="12">
                  <c:v>16</c:v>
                </c:pt>
                <c:pt idx="13">
                  <c:v>32</c:v>
                </c:pt>
                <c:pt idx="14">
                  <c:v>26</c:v>
                </c:pt>
                <c:pt idx="15">
                  <c:v>16</c:v>
                </c:pt>
                <c:pt idx="16">
                  <c:v>23</c:v>
                </c:pt>
                <c:pt idx="17">
                  <c:v>18</c:v>
                </c:pt>
                <c:pt idx="18">
                  <c:v>33</c:v>
                </c:pt>
                <c:pt idx="19">
                  <c:v>23</c:v>
                </c:pt>
                <c:pt idx="20">
                  <c:v>27</c:v>
                </c:pt>
                <c:pt idx="21">
                  <c:v>20</c:v>
                </c:pt>
                <c:pt idx="22">
                  <c:v>10</c:v>
                </c:pt>
                <c:pt idx="23">
                  <c:v>27</c:v>
                </c:pt>
                <c:pt idx="24">
                  <c:v>22</c:v>
                </c:pt>
                <c:pt idx="25">
                  <c:v>10</c:v>
                </c:pt>
                <c:pt idx="26">
                  <c:v>25</c:v>
                </c:pt>
                <c:pt idx="27">
                  <c:v>23</c:v>
                </c:pt>
                <c:pt idx="28">
                  <c:v>28</c:v>
                </c:pt>
                <c:pt idx="29">
                  <c:v>32</c:v>
                </c:pt>
                <c:pt idx="30">
                  <c:v>19</c:v>
                </c:pt>
                <c:pt idx="31">
                  <c:v>26</c:v>
                </c:pt>
                <c:pt idx="32">
                  <c:v>33</c:v>
                </c:pt>
                <c:pt idx="33">
                  <c:v>33</c:v>
                </c:pt>
                <c:pt idx="34">
                  <c:v>20</c:v>
                </c:pt>
                <c:pt idx="35">
                  <c:v>35</c:v>
                </c:pt>
                <c:pt idx="36">
                  <c:v>19</c:v>
                </c:pt>
                <c:pt idx="37">
                  <c:v>28</c:v>
                </c:pt>
                <c:pt idx="38">
                  <c:v>10</c:v>
                </c:pt>
                <c:pt idx="39">
                  <c:v>23</c:v>
                </c:pt>
                <c:pt idx="40">
                  <c:v>17</c:v>
                </c:pt>
                <c:pt idx="41">
                  <c:v>26</c:v>
                </c:pt>
                <c:pt idx="42">
                  <c:v>24</c:v>
                </c:pt>
                <c:pt idx="43">
                  <c:v>34</c:v>
                </c:pt>
                <c:pt idx="44">
                  <c:v>28</c:v>
                </c:pt>
                <c:pt idx="45">
                  <c:v>13</c:v>
                </c:pt>
                <c:pt idx="46">
                  <c:v>32</c:v>
                </c:pt>
                <c:pt idx="47">
                  <c:v>30</c:v>
                </c:pt>
                <c:pt idx="48">
                  <c:v>20</c:v>
                </c:pt>
                <c:pt idx="49">
                  <c:v>33</c:v>
                </c:pt>
                <c:pt idx="50">
                  <c:v>18</c:v>
                </c:pt>
                <c:pt idx="51">
                  <c:v>19</c:v>
                </c:pt>
                <c:pt idx="52">
                  <c:v>18</c:v>
                </c:pt>
                <c:pt idx="53">
                  <c:v>42</c:v>
                </c:pt>
                <c:pt idx="54">
                  <c:v>25</c:v>
                </c:pt>
                <c:pt idx="55">
                  <c:v>27</c:v>
                </c:pt>
              </c:numCache>
            </c:numRef>
          </c:xVal>
          <c:yVal>
            <c:numRef>
              <c:f>'Regression- All variables'!$L$35:$L$90</c:f>
              <c:numCache>
                <c:formatCode>General</c:formatCode>
                <c:ptCount val="56"/>
                <c:pt idx="0">
                  <c:v>0.12427097667931192</c:v>
                </c:pt>
                <c:pt idx="1">
                  <c:v>0.11153943542670272</c:v>
                </c:pt>
                <c:pt idx="2">
                  <c:v>2.7441086221925006E-2</c:v>
                </c:pt>
                <c:pt idx="3">
                  <c:v>5.8088609924418604E-2</c:v>
                </c:pt>
                <c:pt idx="4">
                  <c:v>6.3243884120674415E-2</c:v>
                </c:pt>
                <c:pt idx="5">
                  <c:v>3.2300000000000384E-2</c:v>
                </c:pt>
                <c:pt idx="6">
                  <c:v>7.0306059462860046E-2</c:v>
                </c:pt>
                <c:pt idx="7">
                  <c:v>8.1266413338509674E-2</c:v>
                </c:pt>
                <c:pt idx="8">
                  <c:v>8.2892167813239409E-2</c:v>
                </c:pt>
                <c:pt idx="9">
                  <c:v>0.10883574510535346</c:v>
                </c:pt>
                <c:pt idx="10">
                  <c:v>6.3817425743037115E-2</c:v>
                </c:pt>
                <c:pt idx="11">
                  <c:v>0.12211967782846256</c:v>
                </c:pt>
                <c:pt idx="12">
                  <c:v>8.0452350342124418E-2</c:v>
                </c:pt>
                <c:pt idx="13">
                  <c:v>2.141380752887154E-2</c:v>
                </c:pt>
                <c:pt idx="14">
                  <c:v>0.14352979652523795</c:v>
                </c:pt>
                <c:pt idx="15">
                  <c:v>5.0175212069518506E-2</c:v>
                </c:pt>
                <c:pt idx="16">
                  <c:v>0.1044480930834977</c:v>
                </c:pt>
                <c:pt idx="17">
                  <c:v>9.1072941178017591E-2</c:v>
                </c:pt>
                <c:pt idx="18">
                  <c:v>0.14461135911726516</c:v>
                </c:pt>
                <c:pt idx="19">
                  <c:v>7.8093595092517482E-2</c:v>
                </c:pt>
                <c:pt idx="20">
                  <c:v>5.324910379888563E-2</c:v>
                </c:pt>
                <c:pt idx="21">
                  <c:v>6.2856437576514587E-2</c:v>
                </c:pt>
                <c:pt idx="22">
                  <c:v>5.3516601987258446E-2</c:v>
                </c:pt>
                <c:pt idx="23">
                  <c:v>8.9972394286950003E-2</c:v>
                </c:pt>
                <c:pt idx="24">
                  <c:v>0.11247940316133237</c:v>
                </c:pt>
                <c:pt idx="25">
                  <c:v>0.13488008347793107</c:v>
                </c:pt>
                <c:pt idx="26">
                  <c:v>-1.4549415472499036E-2</c:v>
                </c:pt>
                <c:pt idx="27">
                  <c:v>6.6928321527647439E-2</c:v>
                </c:pt>
                <c:pt idx="28">
                  <c:v>8.7892839473157069E-2</c:v>
                </c:pt>
                <c:pt idx="29">
                  <c:v>0.14681907301232211</c:v>
                </c:pt>
                <c:pt idx="30">
                  <c:v>3.8581494399327322E-2</c:v>
                </c:pt>
                <c:pt idx="31">
                  <c:v>0.1371342381949732</c:v>
                </c:pt>
                <c:pt idx="32">
                  <c:v>4.9053208326223695E-2</c:v>
                </c:pt>
                <c:pt idx="33">
                  <c:v>7.883613366928266E-2</c:v>
                </c:pt>
                <c:pt idx="34">
                  <c:v>9.1650753038609853E-2</c:v>
                </c:pt>
                <c:pt idx="35">
                  <c:v>8.8319455925382526E-2</c:v>
                </c:pt>
                <c:pt idx="36">
                  <c:v>5.6757048085894268E-2</c:v>
                </c:pt>
                <c:pt idx="37">
                  <c:v>8.9927899700350838E-2</c:v>
                </c:pt>
                <c:pt idx="38">
                  <c:v>1.4386068157069883E-2</c:v>
                </c:pt>
                <c:pt idx="39">
                  <c:v>0.13453923180957328</c:v>
                </c:pt>
                <c:pt idx="40">
                  <c:v>3.7377165782372102E-4</c:v>
                </c:pt>
                <c:pt idx="41">
                  <c:v>6.4804426181072211E-2</c:v>
                </c:pt>
                <c:pt idx="42">
                  <c:v>4.6903861214233955E-2</c:v>
                </c:pt>
                <c:pt idx="43">
                  <c:v>0.14621020093399514</c:v>
                </c:pt>
                <c:pt idx="44">
                  <c:v>5.9168438987753404E-2</c:v>
                </c:pt>
                <c:pt idx="45">
                  <c:v>5.5797669362300364E-2</c:v>
                </c:pt>
                <c:pt idx="46">
                  <c:v>6.6252072589435315E-2</c:v>
                </c:pt>
                <c:pt idx="47">
                  <c:v>6.4081298593271344E-2</c:v>
                </c:pt>
                <c:pt idx="48">
                  <c:v>0.16208725937073756</c:v>
                </c:pt>
                <c:pt idx="49">
                  <c:v>9.3955443118701326E-2</c:v>
                </c:pt>
                <c:pt idx="50">
                  <c:v>0.13646344365526447</c:v>
                </c:pt>
                <c:pt idx="51">
                  <c:v>1.4082002333788188E-2</c:v>
                </c:pt>
                <c:pt idx="52">
                  <c:v>9.3300130218389149E-2</c:v>
                </c:pt>
                <c:pt idx="53">
                  <c:v>0.18096661405013395</c:v>
                </c:pt>
                <c:pt idx="54">
                  <c:v>-2.5912763095324552E-2</c:v>
                </c:pt>
                <c:pt idx="55">
                  <c:v>8.4817120090694142E-2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3F-4F85-8959-7B33F86FB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56351"/>
        <c:axId val="218558751"/>
      </c:scatterChart>
      <c:valAx>
        <c:axId val="2185563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Dishes on Bottom Rack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558751"/>
        <c:crosses val="autoZero"/>
        <c:crossBetween val="midCat"/>
      </c:valAx>
      <c:valAx>
        <c:axId val="21855875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Percentage - Y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21855635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No.of.dishes Scrubbed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Percentage - Y</c:v>
          </c:tx>
          <c:spPr>
            <a:ln w="19050">
              <a:noFill/>
            </a:ln>
          </c:spPr>
          <c:xVal>
            <c:numRef>
              <c:f>'Regression- All variables'!$D$3:$D$58</c:f>
              <c:numCache>
                <c:formatCode>General</c:formatCode>
                <c:ptCount val="5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2</c:v>
                </c:pt>
                <c:pt idx="13">
                  <c:v>3</c:v>
                </c:pt>
                <c:pt idx="14">
                  <c:v>10</c:v>
                </c:pt>
                <c:pt idx="15">
                  <c:v>6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</c:v>
                </c:pt>
                <c:pt idx="55">
                  <c:v>0</c:v>
                </c:pt>
              </c:numCache>
            </c:numRef>
          </c:xVal>
          <c:yVal>
            <c:numRef>
              <c:f>'Regression- All variables'!$H$3:$H$58</c:f>
              <c:numCache>
                <c:formatCode>0.0000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F4-4276-A73C-A16C39471556}"/>
            </c:ext>
          </c:extLst>
        </c:ser>
        <c:ser>
          <c:idx val="1"/>
          <c:order val="1"/>
          <c:tx>
            <c:v>Predicted Percentage - Y</c:v>
          </c:tx>
          <c:spPr>
            <a:ln w="19050">
              <a:noFill/>
            </a:ln>
          </c:spPr>
          <c:xVal>
            <c:numRef>
              <c:f>'Regression- All variables'!$D$3:$D$58</c:f>
              <c:numCache>
                <c:formatCode>General</c:formatCode>
                <c:ptCount val="5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2</c:v>
                </c:pt>
                <c:pt idx="13">
                  <c:v>3</c:v>
                </c:pt>
                <c:pt idx="14">
                  <c:v>10</c:v>
                </c:pt>
                <c:pt idx="15">
                  <c:v>6</c:v>
                </c:pt>
                <c:pt idx="16">
                  <c:v>1</c:v>
                </c:pt>
                <c:pt idx="17">
                  <c:v>0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4</c:v>
                </c:pt>
                <c:pt idx="55">
                  <c:v>0</c:v>
                </c:pt>
              </c:numCache>
            </c:numRef>
          </c:xVal>
          <c:yVal>
            <c:numRef>
              <c:f>'Regression- All variables'!$L$35:$L$90</c:f>
              <c:numCache>
                <c:formatCode>General</c:formatCode>
                <c:ptCount val="56"/>
                <c:pt idx="0">
                  <c:v>0.12427097667931192</c:v>
                </c:pt>
                <c:pt idx="1">
                  <c:v>0.11153943542670272</c:v>
                </c:pt>
                <c:pt idx="2">
                  <c:v>2.7441086221925006E-2</c:v>
                </c:pt>
                <c:pt idx="3">
                  <c:v>5.8088609924418604E-2</c:v>
                </c:pt>
                <c:pt idx="4">
                  <c:v>6.3243884120674415E-2</c:v>
                </c:pt>
                <c:pt idx="5">
                  <c:v>3.2300000000000384E-2</c:v>
                </c:pt>
                <c:pt idx="6">
                  <c:v>7.0306059462860046E-2</c:v>
                </c:pt>
                <c:pt idx="7">
                  <c:v>8.1266413338509674E-2</c:v>
                </c:pt>
                <c:pt idx="8">
                  <c:v>8.2892167813239409E-2</c:v>
                </c:pt>
                <c:pt idx="9">
                  <c:v>0.10883574510535346</c:v>
                </c:pt>
                <c:pt idx="10">
                  <c:v>6.3817425743037115E-2</c:v>
                </c:pt>
                <c:pt idx="11">
                  <c:v>0.12211967782846256</c:v>
                </c:pt>
                <c:pt idx="12">
                  <c:v>8.0452350342124418E-2</c:v>
                </c:pt>
                <c:pt idx="13">
                  <c:v>2.141380752887154E-2</c:v>
                </c:pt>
                <c:pt idx="14">
                  <c:v>0.14352979652523795</c:v>
                </c:pt>
                <c:pt idx="15">
                  <c:v>5.0175212069518506E-2</c:v>
                </c:pt>
                <c:pt idx="16">
                  <c:v>0.1044480930834977</c:v>
                </c:pt>
                <c:pt idx="17">
                  <c:v>9.1072941178017591E-2</c:v>
                </c:pt>
                <c:pt idx="18">
                  <c:v>0.14461135911726516</c:v>
                </c:pt>
                <c:pt idx="19">
                  <c:v>7.8093595092517482E-2</c:v>
                </c:pt>
                <c:pt idx="20">
                  <c:v>5.324910379888563E-2</c:v>
                </c:pt>
                <c:pt idx="21">
                  <c:v>6.2856437576514587E-2</c:v>
                </c:pt>
                <c:pt idx="22">
                  <c:v>5.3516601987258446E-2</c:v>
                </c:pt>
                <c:pt idx="23">
                  <c:v>8.9972394286950003E-2</c:v>
                </c:pt>
                <c:pt idx="24">
                  <c:v>0.11247940316133237</c:v>
                </c:pt>
                <c:pt idx="25">
                  <c:v>0.13488008347793107</c:v>
                </c:pt>
                <c:pt idx="26">
                  <c:v>-1.4549415472499036E-2</c:v>
                </c:pt>
                <c:pt idx="27">
                  <c:v>6.6928321527647439E-2</c:v>
                </c:pt>
                <c:pt idx="28">
                  <c:v>8.7892839473157069E-2</c:v>
                </c:pt>
                <c:pt idx="29">
                  <c:v>0.14681907301232211</c:v>
                </c:pt>
                <c:pt idx="30">
                  <c:v>3.8581494399327322E-2</c:v>
                </c:pt>
                <c:pt idx="31">
                  <c:v>0.1371342381949732</c:v>
                </c:pt>
                <c:pt idx="32">
                  <c:v>4.9053208326223695E-2</c:v>
                </c:pt>
                <c:pt idx="33">
                  <c:v>7.883613366928266E-2</c:v>
                </c:pt>
                <c:pt idx="34">
                  <c:v>9.1650753038609853E-2</c:v>
                </c:pt>
                <c:pt idx="35">
                  <c:v>8.8319455925382526E-2</c:v>
                </c:pt>
                <c:pt idx="36">
                  <c:v>5.6757048085894268E-2</c:v>
                </c:pt>
                <c:pt idx="37">
                  <c:v>8.9927899700350838E-2</c:v>
                </c:pt>
                <c:pt idx="38">
                  <c:v>1.4386068157069883E-2</c:v>
                </c:pt>
                <c:pt idx="39">
                  <c:v>0.13453923180957328</c:v>
                </c:pt>
                <c:pt idx="40">
                  <c:v>3.7377165782372102E-4</c:v>
                </c:pt>
                <c:pt idx="41">
                  <c:v>6.4804426181072211E-2</c:v>
                </c:pt>
                <c:pt idx="42">
                  <c:v>4.6903861214233955E-2</c:v>
                </c:pt>
                <c:pt idx="43">
                  <c:v>0.14621020093399514</c:v>
                </c:pt>
                <c:pt idx="44">
                  <c:v>5.9168438987753404E-2</c:v>
                </c:pt>
                <c:pt idx="45">
                  <c:v>5.5797669362300364E-2</c:v>
                </c:pt>
                <c:pt idx="46">
                  <c:v>6.6252072589435315E-2</c:v>
                </c:pt>
                <c:pt idx="47">
                  <c:v>6.4081298593271344E-2</c:v>
                </c:pt>
                <c:pt idx="48">
                  <c:v>0.16208725937073756</c:v>
                </c:pt>
                <c:pt idx="49">
                  <c:v>9.3955443118701326E-2</c:v>
                </c:pt>
                <c:pt idx="50">
                  <c:v>0.13646344365526447</c:v>
                </c:pt>
                <c:pt idx="51">
                  <c:v>1.4082002333788188E-2</c:v>
                </c:pt>
                <c:pt idx="52">
                  <c:v>9.3300130218389149E-2</c:v>
                </c:pt>
                <c:pt idx="53">
                  <c:v>0.18096661405013395</c:v>
                </c:pt>
                <c:pt idx="54">
                  <c:v>-2.5912763095324552E-2</c:v>
                </c:pt>
                <c:pt idx="55">
                  <c:v>8.4817120090694142E-2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F4-4276-A73C-A16C39471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58271"/>
        <c:axId val="218556831"/>
      </c:scatterChart>
      <c:valAx>
        <c:axId val="218558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No.of.dishes Scrubbed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556831"/>
        <c:crosses val="autoZero"/>
        <c:crossBetween val="midCat"/>
      </c:valAx>
      <c:valAx>
        <c:axId val="2185568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Percentage - Y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2185582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No.of.dishes greasy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Percentage - Y</c:v>
          </c:tx>
          <c:spPr>
            <a:ln w="19050">
              <a:noFill/>
            </a:ln>
          </c:spPr>
          <c:xVal>
            <c:numRef>
              <c:f>'Regression- All variables'!$E$3:$E$58</c:f>
              <c:numCache>
                <c:formatCode>General</c:formatCode>
                <c:ptCount val="5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0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4</c:v>
                </c:pt>
                <c:pt idx="43">
                  <c:v>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xVal>
          <c:yVal>
            <c:numRef>
              <c:f>'Regression- All variables'!$H$3:$H$58</c:f>
              <c:numCache>
                <c:formatCode>0.0000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3D-422C-9E6F-6A8810F8A2AD}"/>
            </c:ext>
          </c:extLst>
        </c:ser>
        <c:ser>
          <c:idx val="1"/>
          <c:order val="1"/>
          <c:tx>
            <c:v>Predicted Percentage - Y</c:v>
          </c:tx>
          <c:spPr>
            <a:ln w="19050">
              <a:noFill/>
            </a:ln>
          </c:spPr>
          <c:xVal>
            <c:numRef>
              <c:f>'Regression- All variables'!$E$3:$E$58</c:f>
              <c:numCache>
                <c:formatCode>General</c:formatCode>
                <c:ptCount val="5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0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4</c:v>
                </c:pt>
                <c:pt idx="43">
                  <c:v>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xVal>
          <c:yVal>
            <c:numRef>
              <c:f>'Regression- All variables'!$L$35:$L$90</c:f>
              <c:numCache>
                <c:formatCode>General</c:formatCode>
                <c:ptCount val="56"/>
                <c:pt idx="0">
                  <c:v>0.12427097667931192</c:v>
                </c:pt>
                <c:pt idx="1">
                  <c:v>0.11153943542670272</c:v>
                </c:pt>
                <c:pt idx="2">
                  <c:v>2.7441086221925006E-2</c:v>
                </c:pt>
                <c:pt idx="3">
                  <c:v>5.8088609924418604E-2</c:v>
                </c:pt>
                <c:pt idx="4">
                  <c:v>6.3243884120674415E-2</c:v>
                </c:pt>
                <c:pt idx="5">
                  <c:v>3.2300000000000384E-2</c:v>
                </c:pt>
                <c:pt idx="6">
                  <c:v>7.0306059462860046E-2</c:v>
                </c:pt>
                <c:pt idx="7">
                  <c:v>8.1266413338509674E-2</c:v>
                </c:pt>
                <c:pt idx="8">
                  <c:v>8.2892167813239409E-2</c:v>
                </c:pt>
                <c:pt idx="9">
                  <c:v>0.10883574510535346</c:v>
                </c:pt>
                <c:pt idx="10">
                  <c:v>6.3817425743037115E-2</c:v>
                </c:pt>
                <c:pt idx="11">
                  <c:v>0.12211967782846256</c:v>
                </c:pt>
                <c:pt idx="12">
                  <c:v>8.0452350342124418E-2</c:v>
                </c:pt>
                <c:pt idx="13">
                  <c:v>2.141380752887154E-2</c:v>
                </c:pt>
                <c:pt idx="14">
                  <c:v>0.14352979652523795</c:v>
                </c:pt>
                <c:pt idx="15">
                  <c:v>5.0175212069518506E-2</c:v>
                </c:pt>
                <c:pt idx="16">
                  <c:v>0.1044480930834977</c:v>
                </c:pt>
                <c:pt idx="17">
                  <c:v>9.1072941178017591E-2</c:v>
                </c:pt>
                <c:pt idx="18">
                  <c:v>0.14461135911726516</c:v>
                </c:pt>
                <c:pt idx="19">
                  <c:v>7.8093595092517482E-2</c:v>
                </c:pt>
                <c:pt idx="20">
                  <c:v>5.324910379888563E-2</c:v>
                </c:pt>
                <c:pt idx="21">
                  <c:v>6.2856437576514587E-2</c:v>
                </c:pt>
                <c:pt idx="22">
                  <c:v>5.3516601987258446E-2</c:v>
                </c:pt>
                <c:pt idx="23">
                  <c:v>8.9972394286950003E-2</c:v>
                </c:pt>
                <c:pt idx="24">
                  <c:v>0.11247940316133237</c:v>
                </c:pt>
                <c:pt idx="25">
                  <c:v>0.13488008347793107</c:v>
                </c:pt>
                <c:pt idx="26">
                  <c:v>-1.4549415472499036E-2</c:v>
                </c:pt>
                <c:pt idx="27">
                  <c:v>6.6928321527647439E-2</c:v>
                </c:pt>
                <c:pt idx="28">
                  <c:v>8.7892839473157069E-2</c:v>
                </c:pt>
                <c:pt idx="29">
                  <c:v>0.14681907301232211</c:v>
                </c:pt>
                <c:pt idx="30">
                  <c:v>3.8581494399327322E-2</c:v>
                </c:pt>
                <c:pt idx="31">
                  <c:v>0.1371342381949732</c:v>
                </c:pt>
                <c:pt idx="32">
                  <c:v>4.9053208326223695E-2</c:v>
                </c:pt>
                <c:pt idx="33">
                  <c:v>7.883613366928266E-2</c:v>
                </c:pt>
                <c:pt idx="34">
                  <c:v>9.1650753038609853E-2</c:v>
                </c:pt>
                <c:pt idx="35">
                  <c:v>8.8319455925382526E-2</c:v>
                </c:pt>
                <c:pt idx="36">
                  <c:v>5.6757048085894268E-2</c:v>
                </c:pt>
                <c:pt idx="37">
                  <c:v>8.9927899700350838E-2</c:v>
                </c:pt>
                <c:pt idx="38">
                  <c:v>1.4386068157069883E-2</c:v>
                </c:pt>
                <c:pt idx="39">
                  <c:v>0.13453923180957328</c:v>
                </c:pt>
                <c:pt idx="40">
                  <c:v>3.7377165782372102E-4</c:v>
                </c:pt>
                <c:pt idx="41">
                  <c:v>6.4804426181072211E-2</c:v>
                </c:pt>
                <c:pt idx="42">
                  <c:v>4.6903861214233955E-2</c:v>
                </c:pt>
                <c:pt idx="43">
                  <c:v>0.14621020093399514</c:v>
                </c:pt>
                <c:pt idx="44">
                  <c:v>5.9168438987753404E-2</c:v>
                </c:pt>
                <c:pt idx="45">
                  <c:v>5.5797669362300364E-2</c:v>
                </c:pt>
                <c:pt idx="46">
                  <c:v>6.6252072589435315E-2</c:v>
                </c:pt>
                <c:pt idx="47">
                  <c:v>6.4081298593271344E-2</c:v>
                </c:pt>
                <c:pt idx="48">
                  <c:v>0.16208725937073756</c:v>
                </c:pt>
                <c:pt idx="49">
                  <c:v>9.3955443118701326E-2</c:v>
                </c:pt>
                <c:pt idx="50">
                  <c:v>0.13646344365526447</c:v>
                </c:pt>
                <c:pt idx="51">
                  <c:v>1.4082002333788188E-2</c:v>
                </c:pt>
                <c:pt idx="52">
                  <c:v>9.3300130218389149E-2</c:v>
                </c:pt>
                <c:pt idx="53">
                  <c:v>0.18096661405013395</c:v>
                </c:pt>
                <c:pt idx="54">
                  <c:v>-2.5912763095324552E-2</c:v>
                </c:pt>
                <c:pt idx="55">
                  <c:v>8.4817120090694142E-2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3D-422C-9E6F-6A8810F8A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57311"/>
        <c:axId val="218553471"/>
      </c:scatterChart>
      <c:valAx>
        <c:axId val="2185573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No.of.dishes greasy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553471"/>
        <c:crosses val="autoZero"/>
        <c:crossBetween val="midCat"/>
      </c:valAx>
      <c:valAx>
        <c:axId val="218553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Percentage - Y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21855731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Dishwasher Setting(1/2/3 - Light/Normal/Heavy)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Percentage - Y</c:v>
          </c:tx>
          <c:spPr>
            <a:ln w="19050">
              <a:noFill/>
            </a:ln>
          </c:spPr>
          <c:xVal>
            <c:numRef>
              <c:f>'Regression- All variables'!$F$3:$F$58</c:f>
              <c:numCache>
                <c:formatCode>General</c:formatCode>
                <c:ptCount val="5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</c:numCache>
            </c:numRef>
          </c:xVal>
          <c:yVal>
            <c:numRef>
              <c:f>'Regression- All variables'!$H$3:$H$58</c:f>
              <c:numCache>
                <c:formatCode>0.0000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9B-4191-AEED-F0FD419B876F}"/>
            </c:ext>
          </c:extLst>
        </c:ser>
        <c:ser>
          <c:idx val="1"/>
          <c:order val="1"/>
          <c:tx>
            <c:v>Predicted Percentage - Y</c:v>
          </c:tx>
          <c:spPr>
            <a:ln w="19050">
              <a:noFill/>
            </a:ln>
          </c:spPr>
          <c:xVal>
            <c:numRef>
              <c:f>'Regression- All variables'!$F$3:$F$58</c:f>
              <c:numCache>
                <c:formatCode>General</c:formatCode>
                <c:ptCount val="5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3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2</c:v>
                </c:pt>
                <c:pt idx="49">
                  <c:v>3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3</c:v>
                </c:pt>
                <c:pt idx="54">
                  <c:v>2</c:v>
                </c:pt>
                <c:pt idx="55">
                  <c:v>3</c:v>
                </c:pt>
              </c:numCache>
            </c:numRef>
          </c:xVal>
          <c:yVal>
            <c:numRef>
              <c:f>'Regression- All variables'!$L$35:$L$90</c:f>
              <c:numCache>
                <c:formatCode>General</c:formatCode>
                <c:ptCount val="56"/>
                <c:pt idx="0">
                  <c:v>0.12427097667931192</c:v>
                </c:pt>
                <c:pt idx="1">
                  <c:v>0.11153943542670272</c:v>
                </c:pt>
                <c:pt idx="2">
                  <c:v>2.7441086221925006E-2</c:v>
                </c:pt>
                <c:pt idx="3">
                  <c:v>5.8088609924418604E-2</c:v>
                </c:pt>
                <c:pt idx="4">
                  <c:v>6.3243884120674415E-2</c:v>
                </c:pt>
                <c:pt idx="5">
                  <c:v>3.2300000000000384E-2</c:v>
                </c:pt>
                <c:pt idx="6">
                  <c:v>7.0306059462860046E-2</c:v>
                </c:pt>
                <c:pt idx="7">
                  <c:v>8.1266413338509674E-2</c:v>
                </c:pt>
                <c:pt idx="8">
                  <c:v>8.2892167813239409E-2</c:v>
                </c:pt>
                <c:pt idx="9">
                  <c:v>0.10883574510535346</c:v>
                </c:pt>
                <c:pt idx="10">
                  <c:v>6.3817425743037115E-2</c:v>
                </c:pt>
                <c:pt idx="11">
                  <c:v>0.12211967782846256</c:v>
                </c:pt>
                <c:pt idx="12">
                  <c:v>8.0452350342124418E-2</c:v>
                </c:pt>
                <c:pt idx="13">
                  <c:v>2.141380752887154E-2</c:v>
                </c:pt>
                <c:pt idx="14">
                  <c:v>0.14352979652523795</c:v>
                </c:pt>
                <c:pt idx="15">
                  <c:v>5.0175212069518506E-2</c:v>
                </c:pt>
                <c:pt idx="16">
                  <c:v>0.1044480930834977</c:v>
                </c:pt>
                <c:pt idx="17">
                  <c:v>9.1072941178017591E-2</c:v>
                </c:pt>
                <c:pt idx="18">
                  <c:v>0.14461135911726516</c:v>
                </c:pt>
                <c:pt idx="19">
                  <c:v>7.8093595092517482E-2</c:v>
                </c:pt>
                <c:pt idx="20">
                  <c:v>5.324910379888563E-2</c:v>
                </c:pt>
                <c:pt idx="21">
                  <c:v>6.2856437576514587E-2</c:v>
                </c:pt>
                <c:pt idx="22">
                  <c:v>5.3516601987258446E-2</c:v>
                </c:pt>
                <c:pt idx="23">
                  <c:v>8.9972394286950003E-2</c:v>
                </c:pt>
                <c:pt idx="24">
                  <c:v>0.11247940316133237</c:v>
                </c:pt>
                <c:pt idx="25">
                  <c:v>0.13488008347793107</c:v>
                </c:pt>
                <c:pt idx="26">
                  <c:v>-1.4549415472499036E-2</c:v>
                </c:pt>
                <c:pt idx="27">
                  <c:v>6.6928321527647439E-2</c:v>
                </c:pt>
                <c:pt idx="28">
                  <c:v>8.7892839473157069E-2</c:v>
                </c:pt>
                <c:pt idx="29">
                  <c:v>0.14681907301232211</c:v>
                </c:pt>
                <c:pt idx="30">
                  <c:v>3.8581494399327322E-2</c:v>
                </c:pt>
                <c:pt idx="31">
                  <c:v>0.1371342381949732</c:v>
                </c:pt>
                <c:pt idx="32">
                  <c:v>4.9053208326223695E-2</c:v>
                </c:pt>
                <c:pt idx="33">
                  <c:v>7.883613366928266E-2</c:v>
                </c:pt>
                <c:pt idx="34">
                  <c:v>9.1650753038609853E-2</c:v>
                </c:pt>
                <c:pt idx="35">
                  <c:v>8.8319455925382526E-2</c:v>
                </c:pt>
                <c:pt idx="36">
                  <c:v>5.6757048085894268E-2</c:v>
                </c:pt>
                <c:pt idx="37">
                  <c:v>8.9927899700350838E-2</c:v>
                </c:pt>
                <c:pt idx="38">
                  <c:v>1.4386068157069883E-2</c:v>
                </c:pt>
                <c:pt idx="39">
                  <c:v>0.13453923180957328</c:v>
                </c:pt>
                <c:pt idx="40">
                  <c:v>3.7377165782372102E-4</c:v>
                </c:pt>
                <c:pt idx="41">
                  <c:v>6.4804426181072211E-2</c:v>
                </c:pt>
                <c:pt idx="42">
                  <c:v>4.6903861214233955E-2</c:v>
                </c:pt>
                <c:pt idx="43">
                  <c:v>0.14621020093399514</c:v>
                </c:pt>
                <c:pt idx="44">
                  <c:v>5.9168438987753404E-2</c:v>
                </c:pt>
                <c:pt idx="45">
                  <c:v>5.5797669362300364E-2</c:v>
                </c:pt>
                <c:pt idx="46">
                  <c:v>6.6252072589435315E-2</c:v>
                </c:pt>
                <c:pt idx="47">
                  <c:v>6.4081298593271344E-2</c:v>
                </c:pt>
                <c:pt idx="48">
                  <c:v>0.16208725937073756</c:v>
                </c:pt>
                <c:pt idx="49">
                  <c:v>9.3955443118701326E-2</c:v>
                </c:pt>
                <c:pt idx="50">
                  <c:v>0.13646344365526447</c:v>
                </c:pt>
                <c:pt idx="51">
                  <c:v>1.4082002333788188E-2</c:v>
                </c:pt>
                <c:pt idx="52">
                  <c:v>9.3300130218389149E-2</c:v>
                </c:pt>
                <c:pt idx="53">
                  <c:v>0.18096661405013395</c:v>
                </c:pt>
                <c:pt idx="54">
                  <c:v>-2.5912763095324552E-2</c:v>
                </c:pt>
                <c:pt idx="55">
                  <c:v>8.4817120090694142E-2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9B-4191-AEED-F0FD419B8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62111"/>
        <c:axId val="218560671"/>
      </c:scatterChart>
      <c:valAx>
        <c:axId val="218562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Dishwasher Setting(1/2/3 - Light/Normal/Heavy)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560671"/>
        <c:crosses val="autoZero"/>
        <c:crossBetween val="midCat"/>
      </c:valAx>
      <c:valAx>
        <c:axId val="2185606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Percentage - Y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21856211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Pop Brand Encoded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Percentage - Y</c:v>
          </c:tx>
          <c:spPr>
            <a:ln w="19050">
              <a:noFill/>
            </a:ln>
          </c:spPr>
          <c:xVal>
            <c:numRef>
              <c:f>'Regression- All variables'!$G$3:$G$58</c:f>
              <c:numCache>
                <c:formatCode>General</c:formatCode>
                <c:ptCount val="5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</c:numCache>
            </c:numRef>
          </c:xVal>
          <c:yVal>
            <c:numRef>
              <c:f>'Regression- All variables'!$H$3:$H$58</c:f>
              <c:numCache>
                <c:formatCode>0.0000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E2-49D1-A954-AE86429706B5}"/>
            </c:ext>
          </c:extLst>
        </c:ser>
        <c:ser>
          <c:idx val="1"/>
          <c:order val="1"/>
          <c:tx>
            <c:v>Predicted Percentage - Y</c:v>
          </c:tx>
          <c:spPr>
            <a:ln w="19050">
              <a:noFill/>
            </a:ln>
          </c:spPr>
          <c:xVal>
            <c:numRef>
              <c:f>'Regression- All variables'!$G$3:$G$58</c:f>
              <c:numCache>
                <c:formatCode>General</c:formatCode>
                <c:ptCount val="5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</c:numCache>
            </c:numRef>
          </c:xVal>
          <c:yVal>
            <c:numRef>
              <c:f>'Regression- All variables'!$L$35:$L$90</c:f>
              <c:numCache>
                <c:formatCode>General</c:formatCode>
                <c:ptCount val="56"/>
                <c:pt idx="0">
                  <c:v>0.12427097667931192</c:v>
                </c:pt>
                <c:pt idx="1">
                  <c:v>0.11153943542670272</c:v>
                </c:pt>
                <c:pt idx="2">
                  <c:v>2.7441086221925006E-2</c:v>
                </c:pt>
                <c:pt idx="3">
                  <c:v>5.8088609924418604E-2</c:v>
                </c:pt>
                <c:pt idx="4">
                  <c:v>6.3243884120674415E-2</c:v>
                </c:pt>
                <c:pt idx="5">
                  <c:v>3.2300000000000384E-2</c:v>
                </c:pt>
                <c:pt idx="6">
                  <c:v>7.0306059462860046E-2</c:v>
                </c:pt>
                <c:pt idx="7">
                  <c:v>8.1266413338509674E-2</c:v>
                </c:pt>
                <c:pt idx="8">
                  <c:v>8.2892167813239409E-2</c:v>
                </c:pt>
                <c:pt idx="9">
                  <c:v>0.10883574510535346</c:v>
                </c:pt>
                <c:pt idx="10">
                  <c:v>6.3817425743037115E-2</c:v>
                </c:pt>
                <c:pt idx="11">
                  <c:v>0.12211967782846256</c:v>
                </c:pt>
                <c:pt idx="12">
                  <c:v>8.0452350342124418E-2</c:v>
                </c:pt>
                <c:pt idx="13">
                  <c:v>2.141380752887154E-2</c:v>
                </c:pt>
                <c:pt idx="14">
                  <c:v>0.14352979652523795</c:v>
                </c:pt>
                <c:pt idx="15">
                  <c:v>5.0175212069518506E-2</c:v>
                </c:pt>
                <c:pt idx="16">
                  <c:v>0.1044480930834977</c:v>
                </c:pt>
                <c:pt idx="17">
                  <c:v>9.1072941178017591E-2</c:v>
                </c:pt>
                <c:pt idx="18">
                  <c:v>0.14461135911726516</c:v>
                </c:pt>
                <c:pt idx="19">
                  <c:v>7.8093595092517482E-2</c:v>
                </c:pt>
                <c:pt idx="20">
                  <c:v>5.324910379888563E-2</c:v>
                </c:pt>
                <c:pt idx="21">
                  <c:v>6.2856437576514587E-2</c:v>
                </c:pt>
                <c:pt idx="22">
                  <c:v>5.3516601987258446E-2</c:v>
                </c:pt>
                <c:pt idx="23">
                  <c:v>8.9972394286950003E-2</c:v>
                </c:pt>
                <c:pt idx="24">
                  <c:v>0.11247940316133237</c:v>
                </c:pt>
                <c:pt idx="25">
                  <c:v>0.13488008347793107</c:v>
                </c:pt>
                <c:pt idx="26">
                  <c:v>-1.4549415472499036E-2</c:v>
                </c:pt>
                <c:pt idx="27">
                  <c:v>6.6928321527647439E-2</c:v>
                </c:pt>
                <c:pt idx="28">
                  <c:v>8.7892839473157069E-2</c:v>
                </c:pt>
                <c:pt idx="29">
                  <c:v>0.14681907301232211</c:v>
                </c:pt>
                <c:pt idx="30">
                  <c:v>3.8581494399327322E-2</c:v>
                </c:pt>
                <c:pt idx="31">
                  <c:v>0.1371342381949732</c:v>
                </c:pt>
                <c:pt idx="32">
                  <c:v>4.9053208326223695E-2</c:v>
                </c:pt>
                <c:pt idx="33">
                  <c:v>7.883613366928266E-2</c:v>
                </c:pt>
                <c:pt idx="34">
                  <c:v>9.1650753038609853E-2</c:v>
                </c:pt>
                <c:pt idx="35">
                  <c:v>8.8319455925382526E-2</c:v>
                </c:pt>
                <c:pt idx="36">
                  <c:v>5.6757048085894268E-2</c:v>
                </c:pt>
                <c:pt idx="37">
                  <c:v>8.9927899700350838E-2</c:v>
                </c:pt>
                <c:pt idx="38">
                  <c:v>1.4386068157069883E-2</c:v>
                </c:pt>
                <c:pt idx="39">
                  <c:v>0.13453923180957328</c:v>
                </c:pt>
                <c:pt idx="40">
                  <c:v>3.7377165782372102E-4</c:v>
                </c:pt>
                <c:pt idx="41">
                  <c:v>6.4804426181072211E-2</c:v>
                </c:pt>
                <c:pt idx="42">
                  <c:v>4.6903861214233955E-2</c:v>
                </c:pt>
                <c:pt idx="43">
                  <c:v>0.14621020093399514</c:v>
                </c:pt>
                <c:pt idx="44">
                  <c:v>5.9168438987753404E-2</c:v>
                </c:pt>
                <c:pt idx="45">
                  <c:v>5.5797669362300364E-2</c:v>
                </c:pt>
                <c:pt idx="46">
                  <c:v>6.6252072589435315E-2</c:v>
                </c:pt>
                <c:pt idx="47">
                  <c:v>6.4081298593271344E-2</c:v>
                </c:pt>
                <c:pt idx="48">
                  <c:v>0.16208725937073756</c:v>
                </c:pt>
                <c:pt idx="49">
                  <c:v>9.3955443118701326E-2</c:v>
                </c:pt>
                <c:pt idx="50">
                  <c:v>0.13646344365526447</c:v>
                </c:pt>
                <c:pt idx="51">
                  <c:v>1.4082002333788188E-2</c:v>
                </c:pt>
                <c:pt idx="52">
                  <c:v>9.3300130218389149E-2</c:v>
                </c:pt>
                <c:pt idx="53">
                  <c:v>0.18096661405013395</c:v>
                </c:pt>
                <c:pt idx="54">
                  <c:v>-2.5912763095324552E-2</c:v>
                </c:pt>
                <c:pt idx="55">
                  <c:v>8.4817120090694142E-2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E2-49D1-A954-AE864297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558271"/>
        <c:axId val="218559711"/>
      </c:scatterChart>
      <c:valAx>
        <c:axId val="218558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Pop Brand Encoded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559711"/>
        <c:crosses val="autoZero"/>
        <c:crossBetween val="midCat"/>
      </c:valAx>
      <c:valAx>
        <c:axId val="2185597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Percentage - Y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21855827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 b/w %  Defects and Dishes on Top Rack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'Regression - Dishes Top Rack'!$B$1</c:f>
              <c:strCache>
                <c:ptCount val="1"/>
                <c:pt idx="0">
                  <c:v>Percentage -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'Regression - Dishes Top Rack'!$A$2:$A$57</c:f>
              <c:numCache>
                <c:formatCode>General</c:formatCode>
                <c:ptCount val="56"/>
                <c:pt idx="0">
                  <c:v>13</c:v>
                </c:pt>
                <c:pt idx="1">
                  <c:v>9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  <c:pt idx="5">
                  <c:v>15</c:v>
                </c:pt>
                <c:pt idx="6">
                  <c:v>18</c:v>
                </c:pt>
                <c:pt idx="7">
                  <c:v>20</c:v>
                </c:pt>
                <c:pt idx="8">
                  <c:v>9</c:v>
                </c:pt>
                <c:pt idx="9">
                  <c:v>12</c:v>
                </c:pt>
                <c:pt idx="10">
                  <c:v>14</c:v>
                </c:pt>
                <c:pt idx="11">
                  <c:v>17</c:v>
                </c:pt>
                <c:pt idx="12">
                  <c:v>12</c:v>
                </c:pt>
                <c:pt idx="13">
                  <c:v>17</c:v>
                </c:pt>
                <c:pt idx="14">
                  <c:v>15</c:v>
                </c:pt>
                <c:pt idx="15">
                  <c:v>13</c:v>
                </c:pt>
                <c:pt idx="16">
                  <c:v>11</c:v>
                </c:pt>
                <c:pt idx="17">
                  <c:v>4</c:v>
                </c:pt>
                <c:pt idx="18">
                  <c:v>12</c:v>
                </c:pt>
                <c:pt idx="19">
                  <c:v>9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5</c:v>
                </c:pt>
                <c:pt idx="26">
                  <c:v>18</c:v>
                </c:pt>
                <c:pt idx="27">
                  <c:v>15</c:v>
                </c:pt>
                <c:pt idx="28">
                  <c:v>11</c:v>
                </c:pt>
                <c:pt idx="29">
                  <c:v>12</c:v>
                </c:pt>
                <c:pt idx="30">
                  <c:v>11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12</c:v>
                </c:pt>
                <c:pt idx="35">
                  <c:v>17</c:v>
                </c:pt>
                <c:pt idx="36">
                  <c:v>9</c:v>
                </c:pt>
                <c:pt idx="37">
                  <c:v>13</c:v>
                </c:pt>
                <c:pt idx="38">
                  <c:v>8</c:v>
                </c:pt>
                <c:pt idx="39">
                  <c:v>10</c:v>
                </c:pt>
                <c:pt idx="40">
                  <c:v>13</c:v>
                </c:pt>
                <c:pt idx="41">
                  <c:v>16</c:v>
                </c:pt>
                <c:pt idx="42">
                  <c:v>14</c:v>
                </c:pt>
                <c:pt idx="43">
                  <c:v>14</c:v>
                </c:pt>
                <c:pt idx="44">
                  <c:v>17</c:v>
                </c:pt>
                <c:pt idx="45">
                  <c:v>7</c:v>
                </c:pt>
                <c:pt idx="46">
                  <c:v>16</c:v>
                </c:pt>
                <c:pt idx="47">
                  <c:v>14</c:v>
                </c:pt>
                <c:pt idx="48">
                  <c:v>5</c:v>
                </c:pt>
                <c:pt idx="49">
                  <c:v>16</c:v>
                </c:pt>
                <c:pt idx="50">
                  <c:v>5</c:v>
                </c:pt>
                <c:pt idx="51">
                  <c:v>12</c:v>
                </c:pt>
                <c:pt idx="52">
                  <c:v>10</c:v>
                </c:pt>
                <c:pt idx="53">
                  <c:v>11</c:v>
                </c:pt>
                <c:pt idx="54">
                  <c:v>19</c:v>
                </c:pt>
                <c:pt idx="55">
                  <c:v>10</c:v>
                </c:pt>
              </c:numCache>
            </c:numRef>
          </c:xVal>
          <c:yVal>
            <c:numRef>
              <c:f>'Regression - Dishes Top Rack'!$B$2:$B$57</c:f>
              <c:numCache>
                <c:formatCode>0.0000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6C-46CC-8C33-7BACA6BFA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59536"/>
        <c:axId val="139560016"/>
      </c:scatterChart>
      <c:valAx>
        <c:axId val="13955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Dishes on Top Rack</a:t>
                </a:r>
              </a:p>
            </c:rich>
          </c:tx>
          <c:layout>
            <c:manualLayout>
              <c:xMode val="edge"/>
              <c:yMode val="edge"/>
              <c:x val="0.36577668416447945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0016"/>
        <c:crosses val="autoZero"/>
        <c:crossBetween val="midCat"/>
      </c:valAx>
      <c:valAx>
        <c:axId val="1395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Percentage</a:t>
                </a:r>
                <a:r>
                  <a:rPr lang="en-IN" baseline="0"/>
                  <a:t> of Defects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5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Time series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series Plot'!$B$1</c:f>
              <c:strCache>
                <c:ptCount val="1"/>
                <c:pt idx="0">
                  <c:v>Percentage -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'Time series Plot'!$A$2:$A$57</c:f>
              <c:numCache>
                <c:formatCode>d\-mmm</c:formatCode>
                <c:ptCount val="56"/>
                <c:pt idx="0">
                  <c:v>45930</c:v>
                </c:pt>
                <c:pt idx="1">
                  <c:v>45931</c:v>
                </c:pt>
                <c:pt idx="2">
                  <c:v>45932</c:v>
                </c:pt>
                <c:pt idx="3">
                  <c:v>45932</c:v>
                </c:pt>
                <c:pt idx="4">
                  <c:v>45933</c:v>
                </c:pt>
                <c:pt idx="5">
                  <c:v>45933</c:v>
                </c:pt>
                <c:pt idx="6">
                  <c:v>45934</c:v>
                </c:pt>
                <c:pt idx="7">
                  <c:v>45935</c:v>
                </c:pt>
                <c:pt idx="8">
                  <c:v>45936</c:v>
                </c:pt>
                <c:pt idx="9">
                  <c:v>45936</c:v>
                </c:pt>
                <c:pt idx="10">
                  <c:v>45936</c:v>
                </c:pt>
                <c:pt idx="11">
                  <c:v>45937</c:v>
                </c:pt>
                <c:pt idx="12">
                  <c:v>45937</c:v>
                </c:pt>
                <c:pt idx="13">
                  <c:v>45938</c:v>
                </c:pt>
                <c:pt idx="14">
                  <c:v>45939</c:v>
                </c:pt>
                <c:pt idx="15">
                  <c:v>45939</c:v>
                </c:pt>
                <c:pt idx="16">
                  <c:v>45940</c:v>
                </c:pt>
                <c:pt idx="17">
                  <c:v>45940</c:v>
                </c:pt>
                <c:pt idx="18">
                  <c:v>45941</c:v>
                </c:pt>
                <c:pt idx="19">
                  <c:v>45942</c:v>
                </c:pt>
                <c:pt idx="20">
                  <c:v>45942</c:v>
                </c:pt>
                <c:pt idx="21">
                  <c:v>45943</c:v>
                </c:pt>
                <c:pt idx="22">
                  <c:v>45943</c:v>
                </c:pt>
                <c:pt idx="23">
                  <c:v>45944</c:v>
                </c:pt>
                <c:pt idx="24">
                  <c:v>45944</c:v>
                </c:pt>
                <c:pt idx="25">
                  <c:v>45945</c:v>
                </c:pt>
                <c:pt idx="26">
                  <c:v>45945</c:v>
                </c:pt>
                <c:pt idx="27">
                  <c:v>45946</c:v>
                </c:pt>
                <c:pt idx="28">
                  <c:v>45947</c:v>
                </c:pt>
                <c:pt idx="29">
                  <c:v>45948</c:v>
                </c:pt>
                <c:pt idx="30">
                  <c:v>45948</c:v>
                </c:pt>
                <c:pt idx="31">
                  <c:v>45949</c:v>
                </c:pt>
                <c:pt idx="32">
                  <c:v>45950</c:v>
                </c:pt>
                <c:pt idx="33">
                  <c:v>45951</c:v>
                </c:pt>
                <c:pt idx="34">
                  <c:v>45951</c:v>
                </c:pt>
                <c:pt idx="35">
                  <c:v>45952</c:v>
                </c:pt>
                <c:pt idx="36">
                  <c:v>45952</c:v>
                </c:pt>
                <c:pt idx="37">
                  <c:v>45958</c:v>
                </c:pt>
                <c:pt idx="38">
                  <c:v>45959</c:v>
                </c:pt>
                <c:pt idx="39">
                  <c:v>45959</c:v>
                </c:pt>
                <c:pt idx="40">
                  <c:v>45959</c:v>
                </c:pt>
                <c:pt idx="41">
                  <c:v>45960</c:v>
                </c:pt>
                <c:pt idx="42">
                  <c:v>45960</c:v>
                </c:pt>
                <c:pt idx="43">
                  <c:v>45961</c:v>
                </c:pt>
                <c:pt idx="44">
                  <c:v>45962</c:v>
                </c:pt>
                <c:pt idx="45">
                  <c:v>45963</c:v>
                </c:pt>
                <c:pt idx="46">
                  <c:v>45963</c:v>
                </c:pt>
                <c:pt idx="47">
                  <c:v>45964</c:v>
                </c:pt>
                <c:pt idx="48">
                  <c:v>45964</c:v>
                </c:pt>
                <c:pt idx="49">
                  <c:v>45965</c:v>
                </c:pt>
                <c:pt idx="50">
                  <c:v>45965</c:v>
                </c:pt>
                <c:pt idx="51">
                  <c:v>45967</c:v>
                </c:pt>
                <c:pt idx="52">
                  <c:v>45967</c:v>
                </c:pt>
                <c:pt idx="53">
                  <c:v>45970</c:v>
                </c:pt>
                <c:pt idx="54">
                  <c:v>45972</c:v>
                </c:pt>
                <c:pt idx="55">
                  <c:v>45973</c:v>
                </c:pt>
              </c:numCache>
            </c:numRef>
          </c:cat>
          <c:val>
            <c:numRef>
              <c:f>'Time series Plot'!$B$2:$B$57</c:f>
              <c:numCache>
                <c:formatCode>0.00%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4A-4152-B348-EC979C3C0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805647"/>
        <c:axId val="785806127"/>
      </c:lineChart>
      <c:dateAx>
        <c:axId val="78580564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06127"/>
        <c:crosses val="autoZero"/>
        <c:auto val="1"/>
        <c:lblOffset val="100"/>
        <c:baseTimeUnit val="days"/>
      </c:dateAx>
      <c:valAx>
        <c:axId val="78580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80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Comparison of defects between Pod Brand and Run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'Pod-setting combination'!$I$15</c:f>
              <c:strCache>
                <c:ptCount val="1"/>
                <c:pt idx="0">
                  <c:v>Cascade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'Pod-setting combination'!$H$16:$H$18</c:f>
              <c:strCache>
                <c:ptCount val="3"/>
                <c:pt idx="0">
                  <c:v>Light</c:v>
                </c:pt>
                <c:pt idx="1">
                  <c:v>Normal</c:v>
                </c:pt>
                <c:pt idx="2">
                  <c:v>Heavy</c:v>
                </c:pt>
              </c:strCache>
            </c:strRef>
          </c:cat>
          <c:val>
            <c:numRef>
              <c:f>'Pod-setting combination'!$I$16:$I$18</c:f>
              <c:numCache>
                <c:formatCode>0.00%</c:formatCode>
                <c:ptCount val="3"/>
                <c:pt idx="0">
                  <c:v>0.20742499999999997</c:v>
                </c:pt>
                <c:pt idx="1">
                  <c:v>5.8033333333333333E-2</c:v>
                </c:pt>
                <c:pt idx="2">
                  <c:v>0.13038181818181818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4-4496-88AC-1B314A577715}"/>
            </c:ext>
          </c:extLst>
        </c:ser>
        <c:ser>
          <c:idx val="1"/>
          <c:order val="1"/>
          <c:tx>
            <c:strRef>
              <c:f>'Pod-setting combination'!$J$15</c:f>
              <c:strCache>
                <c:ptCount val="1"/>
                <c:pt idx="0">
                  <c:v>Finish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'Pod-setting combination'!$H$16:$H$18</c:f>
              <c:strCache>
                <c:ptCount val="3"/>
                <c:pt idx="0">
                  <c:v>Light</c:v>
                </c:pt>
                <c:pt idx="1">
                  <c:v>Normal</c:v>
                </c:pt>
                <c:pt idx="2">
                  <c:v>Heavy</c:v>
                </c:pt>
              </c:strCache>
            </c:strRef>
          </c:cat>
          <c:val>
            <c:numRef>
              <c:f>'Pod-setting combination'!$J$16:$J$18</c:f>
              <c:numCache>
                <c:formatCode>0.00%</c:formatCode>
                <c:ptCount val="3"/>
                <c:pt idx="0">
                  <c:v>1.2833333333333334E-2</c:v>
                </c:pt>
                <c:pt idx="1">
                  <c:v>4.3730769230769233E-2</c:v>
                </c:pt>
                <c:pt idx="2">
                  <c:v>7.3509999999999992E-2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4-4496-88AC-1B314A5777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86613760"/>
        <c:axId val="286621440"/>
      </c:barChart>
      <c:catAx>
        <c:axId val="28661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621440"/>
        <c:crosses val="autoZero"/>
        <c:auto val="1"/>
        <c:lblAlgn val="ctr"/>
        <c:lblOffset val="100"/>
        <c:noMultiLvlLbl val="0"/>
      </c:catAx>
      <c:valAx>
        <c:axId val="286621440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61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'When to use Heavy'!$B$1</c:f>
              <c:strCache>
                <c:ptCount val="1"/>
                <c:pt idx="0">
                  <c:v>Percentage -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'When to use Heavy'!$A$2:$A$57</c:f>
              <c:numCache>
                <c:formatCode>General</c:formatCode>
                <c:ptCount val="56"/>
                <c:pt idx="0">
                  <c:v>44</c:v>
                </c:pt>
                <c:pt idx="1">
                  <c:v>39</c:v>
                </c:pt>
                <c:pt idx="2">
                  <c:v>26</c:v>
                </c:pt>
                <c:pt idx="3">
                  <c:v>39</c:v>
                </c:pt>
                <c:pt idx="4">
                  <c:v>40</c:v>
                </c:pt>
                <c:pt idx="5">
                  <c:v>31</c:v>
                </c:pt>
                <c:pt idx="6">
                  <c:v>43</c:v>
                </c:pt>
                <c:pt idx="7">
                  <c:v>48</c:v>
                </c:pt>
                <c:pt idx="8">
                  <c:v>25</c:v>
                </c:pt>
                <c:pt idx="9">
                  <c:v>40</c:v>
                </c:pt>
                <c:pt idx="10">
                  <c:v>42</c:v>
                </c:pt>
                <c:pt idx="11">
                  <c:v>47</c:v>
                </c:pt>
                <c:pt idx="12">
                  <c:v>28</c:v>
                </c:pt>
                <c:pt idx="13">
                  <c:v>49</c:v>
                </c:pt>
                <c:pt idx="14">
                  <c:v>41</c:v>
                </c:pt>
                <c:pt idx="15">
                  <c:v>29</c:v>
                </c:pt>
                <c:pt idx="16">
                  <c:v>34</c:v>
                </c:pt>
                <c:pt idx="17">
                  <c:v>22</c:v>
                </c:pt>
                <c:pt idx="18">
                  <c:v>45</c:v>
                </c:pt>
                <c:pt idx="19">
                  <c:v>32</c:v>
                </c:pt>
                <c:pt idx="20">
                  <c:v>39</c:v>
                </c:pt>
                <c:pt idx="21">
                  <c:v>33</c:v>
                </c:pt>
                <c:pt idx="22">
                  <c:v>22</c:v>
                </c:pt>
                <c:pt idx="23">
                  <c:v>38</c:v>
                </c:pt>
                <c:pt idx="24">
                  <c:v>31</c:v>
                </c:pt>
                <c:pt idx="25">
                  <c:v>15</c:v>
                </c:pt>
                <c:pt idx="26">
                  <c:v>43</c:v>
                </c:pt>
                <c:pt idx="27">
                  <c:v>38</c:v>
                </c:pt>
                <c:pt idx="28">
                  <c:v>39</c:v>
                </c:pt>
                <c:pt idx="29">
                  <c:v>44</c:v>
                </c:pt>
                <c:pt idx="30">
                  <c:v>30</c:v>
                </c:pt>
                <c:pt idx="31">
                  <c:v>39</c:v>
                </c:pt>
                <c:pt idx="32">
                  <c:v>46</c:v>
                </c:pt>
                <c:pt idx="33">
                  <c:v>46</c:v>
                </c:pt>
                <c:pt idx="34">
                  <c:v>32</c:v>
                </c:pt>
                <c:pt idx="35">
                  <c:v>52</c:v>
                </c:pt>
                <c:pt idx="36">
                  <c:v>28</c:v>
                </c:pt>
                <c:pt idx="37">
                  <c:v>41</c:v>
                </c:pt>
                <c:pt idx="38">
                  <c:v>18</c:v>
                </c:pt>
                <c:pt idx="39">
                  <c:v>33</c:v>
                </c:pt>
                <c:pt idx="40">
                  <c:v>30</c:v>
                </c:pt>
                <c:pt idx="41">
                  <c:v>42</c:v>
                </c:pt>
                <c:pt idx="42">
                  <c:v>38</c:v>
                </c:pt>
                <c:pt idx="43">
                  <c:v>48</c:v>
                </c:pt>
                <c:pt idx="44">
                  <c:v>45</c:v>
                </c:pt>
                <c:pt idx="45">
                  <c:v>20</c:v>
                </c:pt>
                <c:pt idx="46">
                  <c:v>48</c:v>
                </c:pt>
                <c:pt idx="47">
                  <c:v>44</c:v>
                </c:pt>
                <c:pt idx="48">
                  <c:v>25</c:v>
                </c:pt>
                <c:pt idx="49">
                  <c:v>49</c:v>
                </c:pt>
                <c:pt idx="50">
                  <c:v>23</c:v>
                </c:pt>
                <c:pt idx="51">
                  <c:v>31</c:v>
                </c:pt>
                <c:pt idx="52">
                  <c:v>28</c:v>
                </c:pt>
                <c:pt idx="53">
                  <c:v>53</c:v>
                </c:pt>
                <c:pt idx="54">
                  <c:v>44</c:v>
                </c:pt>
                <c:pt idx="55">
                  <c:v>37</c:v>
                </c:pt>
              </c:numCache>
            </c:numRef>
          </c:xVal>
          <c:yVal>
            <c:numRef>
              <c:f>'When to use Heavy'!$B$2:$B$57</c:f>
              <c:numCache>
                <c:formatCode>0.00%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1-4675-AC8F-2D6A22EB8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498880"/>
        <c:axId val="607499360"/>
      </c:scatterChart>
      <c:valAx>
        <c:axId val="60749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99360"/>
        <c:crosses val="autoZero"/>
        <c:crossBetween val="midCat"/>
      </c:valAx>
      <c:valAx>
        <c:axId val="60749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49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% Defects and No.of.greasy dishes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Sheet6!$D$1</c:f>
              <c:strCache>
                <c:ptCount val="1"/>
                <c:pt idx="0">
                  <c:v>Percentage - 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Sheet6!$C$2:$C$57</c:f>
              <c:numCache>
                <c:formatCode>General</c:formatCode>
                <c:ptCount val="5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4</c:v>
                </c:pt>
                <c:pt idx="32">
                  <c:v>0</c:v>
                </c:pt>
                <c:pt idx="33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4</c:v>
                </c:pt>
                <c:pt idx="43">
                  <c:v>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</c:numCache>
            </c:numRef>
          </c:xVal>
          <c:yVal>
            <c:numRef>
              <c:f>Sheet6!$D$2:$D$57</c:f>
              <c:numCache>
                <c:formatCode>0.00%</c:formatCode>
                <c:ptCount val="56"/>
                <c:pt idx="0">
                  <c:v>0.20449999999999999</c:v>
                </c:pt>
                <c:pt idx="1">
                  <c:v>0.23080000000000001</c:v>
                </c:pt>
                <c:pt idx="2">
                  <c:v>3.85E-2</c:v>
                </c:pt>
                <c:pt idx="3">
                  <c:v>0.1026</c:v>
                </c:pt>
                <c:pt idx="4">
                  <c:v>7.4999999999999997E-2</c:v>
                </c:pt>
                <c:pt idx="5">
                  <c:v>3.2300000000000002E-2</c:v>
                </c:pt>
                <c:pt idx="6">
                  <c:v>2.3300000000000001E-2</c:v>
                </c:pt>
                <c:pt idx="7">
                  <c:v>8.3299999999999999E-2</c:v>
                </c:pt>
                <c:pt idx="8">
                  <c:v>0.04</c:v>
                </c:pt>
                <c:pt idx="9">
                  <c:v>0.3</c:v>
                </c:pt>
                <c:pt idx="10">
                  <c:v>9.5200000000000007E-2</c:v>
                </c:pt>
                <c:pt idx="11">
                  <c:v>8.5099999999999995E-2</c:v>
                </c:pt>
                <c:pt idx="12">
                  <c:v>0.1429</c:v>
                </c:pt>
                <c:pt idx="13">
                  <c:v>2.0400000000000001E-2</c:v>
                </c:pt>
                <c:pt idx="14">
                  <c:v>9.7600000000000006E-2</c:v>
                </c:pt>
                <c:pt idx="15">
                  <c:v>3.4500000000000003E-2</c:v>
                </c:pt>
                <c:pt idx="16">
                  <c:v>2.9399999999999999E-2</c:v>
                </c:pt>
                <c:pt idx="17">
                  <c:v>0</c:v>
                </c:pt>
                <c:pt idx="18">
                  <c:v>6.6699999999999995E-2</c:v>
                </c:pt>
                <c:pt idx="19">
                  <c:v>9.3799999999999994E-2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0.15790000000000001</c:v>
                </c:pt>
                <c:pt idx="24">
                  <c:v>0.4194</c:v>
                </c:pt>
                <c:pt idx="25">
                  <c:v>0.26669999999999999</c:v>
                </c:pt>
                <c:pt idx="26">
                  <c:v>2.3300000000000001E-2</c:v>
                </c:pt>
                <c:pt idx="27">
                  <c:v>2.63E-2</c:v>
                </c:pt>
                <c:pt idx="28">
                  <c:v>5.1299999999999998E-2</c:v>
                </c:pt>
                <c:pt idx="29">
                  <c:v>9.0899999999999995E-2</c:v>
                </c:pt>
                <c:pt idx="30">
                  <c:v>3.3300000000000003E-2</c:v>
                </c:pt>
                <c:pt idx="31">
                  <c:v>0.2051</c:v>
                </c:pt>
                <c:pt idx="32">
                  <c:v>0</c:v>
                </c:pt>
                <c:pt idx="33">
                  <c:v>6.5199999999999994E-2</c:v>
                </c:pt>
                <c:pt idx="34">
                  <c:v>0</c:v>
                </c:pt>
                <c:pt idx="35">
                  <c:v>1.9199999999999998E-2</c:v>
                </c:pt>
                <c:pt idx="36">
                  <c:v>0</c:v>
                </c:pt>
                <c:pt idx="37">
                  <c:v>2.4400000000000002E-2</c:v>
                </c:pt>
                <c:pt idx="38">
                  <c:v>0</c:v>
                </c:pt>
                <c:pt idx="39">
                  <c:v>0.33329999999999999</c:v>
                </c:pt>
                <c:pt idx="40">
                  <c:v>0</c:v>
                </c:pt>
                <c:pt idx="41">
                  <c:v>7.1400000000000005E-2</c:v>
                </c:pt>
                <c:pt idx="42">
                  <c:v>2.63E-2</c:v>
                </c:pt>
                <c:pt idx="43">
                  <c:v>2.0799999999999999E-2</c:v>
                </c:pt>
                <c:pt idx="44">
                  <c:v>0.2</c:v>
                </c:pt>
                <c:pt idx="45">
                  <c:v>0</c:v>
                </c:pt>
                <c:pt idx="46">
                  <c:v>2.0799999999999999E-2</c:v>
                </c:pt>
                <c:pt idx="47">
                  <c:v>9.0899999999999995E-2</c:v>
                </c:pt>
                <c:pt idx="48">
                  <c:v>0</c:v>
                </c:pt>
                <c:pt idx="49">
                  <c:v>4.0800000000000003E-2</c:v>
                </c:pt>
                <c:pt idx="50">
                  <c:v>8.6999999999999994E-2</c:v>
                </c:pt>
                <c:pt idx="51">
                  <c:v>3.2300000000000002E-2</c:v>
                </c:pt>
                <c:pt idx="52">
                  <c:v>3.5700000000000003E-2</c:v>
                </c:pt>
                <c:pt idx="53">
                  <c:v>0.20749999999999999</c:v>
                </c:pt>
                <c:pt idx="54">
                  <c:v>2.2700000000000001E-2</c:v>
                </c:pt>
                <c:pt idx="55">
                  <c:v>0.1081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9-4D98-A220-408ABE0B0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5313632"/>
        <c:axId val="615315552"/>
      </c:scatterChart>
      <c:valAx>
        <c:axId val="61531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No.of.greasy dishes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15552"/>
        <c:crosses val="autoZero"/>
        <c:crossBetween val="midCat"/>
      </c:valAx>
      <c:valAx>
        <c:axId val="6153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% Defects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31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Y metric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of Y metric</a:t>
          </a:r>
        </a:p>
      </cx:txPr>
    </cx:title>
    <cx:plotArea>
      <cx:plotAreaRegion>
        <cx:series layoutId="clusteredColumn" uniqueId="{B561737B-A712-4DDB-AD85-9EE94B3CEB5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tle>
          <cx:tx>
            <cx:txData>
              <cx:v>% of defective Dishes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% of defective Dishes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Pod Brand Vs Defects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Pod Brand Vs Defects</a:t>
          </a:r>
        </a:p>
      </cx:txPr>
    </cx:title>
    <cx:plotArea>
      <cx:plotAreaRegion>
        <cx:series layoutId="clusteredColumn" uniqueId="{1C4CA452-889F-40B9-A965-2A9FC83BF16E}">
          <cx:tx>
            <cx:txData>
              <cx:f>_xlchart.v1.3</cx:f>
              <cx:v>Percentage - 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72C0D1A-873C-4992-8EE2-5D2FDEF9B640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>
      <cx:tx>
        <cx:txData>
          <cx:v>Box Plot of Defect % and Pod Brand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of Defect % and Pod Brand</a:t>
          </a:r>
        </a:p>
      </cx:txPr>
    </cx:title>
    <cx:plotArea>
      <cx:plotAreaRegion>
        <cx:series layoutId="boxWhisker" uniqueId="{45F038B9-FD5E-4C5D-805F-3A7A917F927A}">
          <cx:tx>
            <cx:txData>
              <cx:f>_xlchart.v1.6</cx:f>
              <cx:v>Percentage - 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Pod Brand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Pod Brand</a:t>
              </a:r>
            </a:p>
          </cx:txPr>
        </cx:title>
        <cx:tickLabels/>
      </cx:axis>
      <cx:axis id="1">
        <cx:valScaling/>
        <cx:title>
          <cx:tx>
            <cx:txData>
              <cx:v>% of defects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% of defects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>
      <cx:tx>
        <cx:txData>
          <cx:v>Cycle Type Vs Defects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Cycle Type Vs Defects</a:t>
          </a:r>
        </a:p>
      </cx:txPr>
    </cx:title>
    <cx:plotArea>
      <cx:plotAreaRegion>
        <cx:series layoutId="clusteredColumn" uniqueId="{BBD78745-9FB8-4594-A2D5-8672A0353E6D}">
          <cx:tx>
            <cx:txData>
              <cx:f>_xlchart.v1.9</cx:f>
              <cx:v>Percentage - Y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EE13552-B246-4F5F-B84F-35567C3720E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_xlchart.v1.13</cx:f>
      </cx:numDim>
    </cx:data>
  </cx:chartData>
  <cx:chart>
    <cx:title pos="t" align="ctr" overlay="0">
      <cx:tx>
        <cx:txData>
          <cx:v>Box Plot b/w Defect % and Run Type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b/w Defect % and Run Type</a:t>
          </a:r>
        </a:p>
      </cx:txPr>
    </cx:title>
    <cx:plotArea>
      <cx:plotAreaRegion>
        <cx:series layoutId="boxWhisker" uniqueId="{59EE4721-2DE4-49D3-8268-15C348015E01}">
          <cx:tx>
            <cx:txData>
              <cx:f>_xlchart.v1.12</cx:f>
              <cx:v>Percentage - 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Run Cycle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Run Cycle</a:t>
              </a:r>
            </a:p>
          </cx:txPr>
        </cx:title>
        <cx:tickLabels/>
      </cx:axis>
      <cx:axis id="1">
        <cx:valScaling/>
        <cx:title>
          <cx:tx>
            <cx:txData>
              <cx:v>% Defects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% Defects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1</xdr:row>
      <xdr:rowOff>142875</xdr:rowOff>
    </xdr:from>
    <xdr:to>
      <xdr:col>11</xdr:col>
      <xdr:colOff>152400</xdr:colOff>
      <xdr:row>15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07BC934-73F9-CD3A-0B0F-1C9425C5A1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7375" y="333375"/>
              <a:ext cx="402907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422275</xdr:colOff>
      <xdr:row>0</xdr:row>
      <xdr:rowOff>123825</xdr:rowOff>
    </xdr:from>
    <xdr:to>
      <xdr:col>12</xdr:col>
      <xdr:colOff>117475</xdr:colOff>
      <xdr:row>15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F6CA6E4-A618-774F-F45D-CB1D00A853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2825" y="123825"/>
              <a:ext cx="4572000" cy="3295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247650</xdr:colOff>
      <xdr:row>4</xdr:row>
      <xdr:rowOff>177800</xdr:rowOff>
    </xdr:from>
    <xdr:to>
      <xdr:col>25</xdr:col>
      <xdr:colOff>247650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69D156-CA70-304B-8748-E7953EA3D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247650</xdr:colOff>
      <xdr:row>6</xdr:row>
      <xdr:rowOff>177800</xdr:rowOff>
    </xdr:from>
    <xdr:to>
      <xdr:col>26</xdr:col>
      <xdr:colOff>247650</xdr:colOff>
      <xdr:row>16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CE0CF0-5091-E88C-66AF-38958003B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247650</xdr:colOff>
      <xdr:row>8</xdr:row>
      <xdr:rowOff>177800</xdr:rowOff>
    </xdr:from>
    <xdr:to>
      <xdr:col>27</xdr:col>
      <xdr:colOff>247650</xdr:colOff>
      <xdr:row>18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7EF11C-4F86-4CF1-DC01-C269C6698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247650</xdr:colOff>
      <xdr:row>10</xdr:row>
      <xdr:rowOff>177800</xdr:rowOff>
    </xdr:from>
    <xdr:to>
      <xdr:col>28</xdr:col>
      <xdr:colOff>247650</xdr:colOff>
      <xdr:row>20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50BE13-243F-B863-837D-DEC7660B4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247650</xdr:colOff>
      <xdr:row>12</xdr:row>
      <xdr:rowOff>177800</xdr:rowOff>
    </xdr:from>
    <xdr:to>
      <xdr:col>29</xdr:col>
      <xdr:colOff>247650</xdr:colOff>
      <xdr:row>22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4FD327-10C5-BE0A-77B3-F6197947B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247650</xdr:colOff>
      <xdr:row>14</xdr:row>
      <xdr:rowOff>177800</xdr:rowOff>
    </xdr:from>
    <xdr:to>
      <xdr:col>30</xdr:col>
      <xdr:colOff>247650</xdr:colOff>
      <xdr:row>24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2EF3A21-6F27-6EC0-DCA4-B9BABDB33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254000</xdr:colOff>
      <xdr:row>25</xdr:row>
      <xdr:rowOff>152400</xdr:rowOff>
    </xdr:from>
    <xdr:to>
      <xdr:col>28</xdr:col>
      <xdr:colOff>254000</xdr:colOff>
      <xdr:row>35</xdr:row>
      <xdr:rowOff>152400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E96891-C0CE-6FF0-3D52-0D7FC79AA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441325</xdr:colOff>
      <xdr:row>22</xdr:row>
      <xdr:rowOff>117475</xdr:rowOff>
    </xdr:from>
    <xdr:to>
      <xdr:col>9</xdr:col>
      <xdr:colOff>492125</xdr:colOff>
      <xdr:row>37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46E3E-0C88-D10E-E63F-6F6AA94A5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339725</xdr:colOff>
      <xdr:row>23</xdr:row>
      <xdr:rowOff>98425</xdr:rowOff>
    </xdr:from>
    <xdr:to>
      <xdr:col>10</xdr:col>
      <xdr:colOff>104775</xdr:colOff>
      <xdr:row>37</xdr:row>
      <xdr:rowOff>174625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39D2D17-A0D4-9FDF-8BC4-EF34300954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8125" y="49371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187325</xdr:colOff>
      <xdr:row>39</xdr:row>
      <xdr:rowOff>155575</xdr:rowOff>
    </xdr:from>
    <xdr:to>
      <xdr:col>12</xdr:col>
      <xdr:colOff>492125</xdr:colOff>
      <xdr:row>54</xdr:row>
      <xdr:rowOff>41275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7F6AF54-9053-31E9-1FDF-4E4F83E570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27525" y="7585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365125</xdr:colOff>
      <xdr:row>0</xdr:row>
      <xdr:rowOff>295275</xdr:rowOff>
    </xdr:from>
    <xdr:to>
      <xdr:col>12</xdr:col>
      <xdr:colOff>60325</xdr:colOff>
      <xdr:row>15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9E99F-EE8F-D97B-6C41-99EAF8B87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60325</xdr:colOff>
      <xdr:row>1</xdr:row>
      <xdr:rowOff>136525</xdr:rowOff>
    </xdr:from>
    <xdr:to>
      <xdr:col>10</xdr:col>
      <xdr:colOff>365125</xdr:colOff>
      <xdr:row>16</xdr:row>
      <xdr:rowOff>22225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0E802E-BFA2-056A-8CEA-758F433106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2375" y="3270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60325</xdr:colOff>
      <xdr:row>13</xdr:row>
      <xdr:rowOff>34925</xdr:rowOff>
    </xdr:from>
    <xdr:to>
      <xdr:col>14</xdr:col>
      <xdr:colOff>244475</xdr:colOff>
      <xdr:row>27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447BF5-61DC-CFE1-30D8-ACF874A94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0</xdr:row>
      <xdr:rowOff>365125</xdr:rowOff>
    </xdr:from>
    <xdr:to>
      <xdr:col>11</xdr:col>
      <xdr:colOff>485775</xdr:colOff>
      <xdr:row>14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C49787-6E39-EA3F-3352-14B68BFBF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0</xdr:row>
      <xdr:rowOff>466725</xdr:rowOff>
    </xdr:from>
    <xdr:to>
      <xdr:col>13</xdr:col>
      <xdr:colOff>231775</xdr:colOff>
      <xdr:row>14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F5564-6116-46E8-642E-C6C05D7ED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ani" refreshedDate="45978.479625578701" createdVersion="8" refreshedVersion="8" minRefreshableVersion="3" recordCount="56" xr:uid="{AAC0F86E-D330-45F7-BCE1-BCD23227D14C}">
  <cacheSource type="worksheet">
    <worksheetSource ref="A1:B57" sheet="Day of week plot"/>
  </cacheSource>
  <cacheFields count="2">
    <cacheField name="DOW" numFmtId="0">
      <sharedItems count="7">
        <s v="Tuesday"/>
        <s v="Wednesday"/>
        <s v="Thursday"/>
        <s v="Friday"/>
        <s v="Saturday"/>
        <s v="Sunday"/>
        <s v="Monday"/>
      </sharedItems>
    </cacheField>
    <cacheField name="Percentage - Y" numFmtId="0">
      <sharedItems containsSemiMixedTypes="0" containsString="0" containsNumber="1" minValue="0" maxValue="0.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ani" refreshedDate="45980.415939351849" createdVersion="8" refreshedVersion="8" minRefreshableVersion="3" recordCount="56" xr:uid="{B028CD2D-E4F8-4136-8A4F-61B878B24C29}">
  <cacheSource type="worksheet">
    <worksheetSource ref="A1:C57" sheet="Pod-setting combination"/>
  </cacheSource>
  <cacheFields count="3">
    <cacheField name="Pod Brand" numFmtId="0">
      <sharedItems count="2">
        <s v="Cascade"/>
        <s v="Finish"/>
      </sharedItems>
    </cacheField>
    <cacheField name="Run Cycle" numFmtId="0">
      <sharedItems count="3">
        <s v="Normal"/>
        <s v="Light"/>
        <s v="Heavy"/>
      </sharedItems>
    </cacheField>
    <cacheField name="Percentage - Y" numFmtId="164">
      <sharedItems containsSemiMixedTypes="0" containsString="0" containsNumber="1" minValue="0" maxValue="0.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n v="0.20449999999999999"/>
  </r>
  <r>
    <x v="1"/>
    <n v="0.23080000000000001"/>
  </r>
  <r>
    <x v="2"/>
    <n v="3.85E-2"/>
  </r>
  <r>
    <x v="2"/>
    <n v="0.1026"/>
  </r>
  <r>
    <x v="3"/>
    <n v="7.4999999999999997E-2"/>
  </r>
  <r>
    <x v="3"/>
    <n v="3.2300000000000002E-2"/>
  </r>
  <r>
    <x v="4"/>
    <n v="2.3300000000000001E-2"/>
  </r>
  <r>
    <x v="5"/>
    <n v="8.3299999999999999E-2"/>
  </r>
  <r>
    <x v="6"/>
    <n v="0.04"/>
  </r>
  <r>
    <x v="6"/>
    <n v="0.3"/>
  </r>
  <r>
    <x v="6"/>
    <n v="9.5200000000000007E-2"/>
  </r>
  <r>
    <x v="0"/>
    <n v="8.5099999999999995E-2"/>
  </r>
  <r>
    <x v="0"/>
    <n v="0.1429"/>
  </r>
  <r>
    <x v="1"/>
    <n v="2.0400000000000001E-2"/>
  </r>
  <r>
    <x v="2"/>
    <n v="9.7600000000000006E-2"/>
  </r>
  <r>
    <x v="2"/>
    <n v="3.4500000000000003E-2"/>
  </r>
  <r>
    <x v="3"/>
    <n v="2.9399999999999999E-2"/>
  </r>
  <r>
    <x v="3"/>
    <n v="0"/>
  </r>
  <r>
    <x v="4"/>
    <n v="6.6699999999999995E-2"/>
  </r>
  <r>
    <x v="5"/>
    <n v="9.3799999999999994E-2"/>
  </r>
  <r>
    <x v="5"/>
    <n v="0"/>
  </r>
  <r>
    <x v="6"/>
    <n v="0"/>
  </r>
  <r>
    <x v="6"/>
    <n v="0"/>
  </r>
  <r>
    <x v="0"/>
    <n v="0.15790000000000001"/>
  </r>
  <r>
    <x v="0"/>
    <n v="0.4194"/>
  </r>
  <r>
    <x v="1"/>
    <n v="0.26669999999999999"/>
  </r>
  <r>
    <x v="1"/>
    <n v="2.3300000000000001E-2"/>
  </r>
  <r>
    <x v="2"/>
    <n v="2.63E-2"/>
  </r>
  <r>
    <x v="3"/>
    <n v="5.1299999999999998E-2"/>
  </r>
  <r>
    <x v="4"/>
    <n v="9.0899999999999995E-2"/>
  </r>
  <r>
    <x v="4"/>
    <n v="3.3300000000000003E-2"/>
  </r>
  <r>
    <x v="5"/>
    <n v="0.2051"/>
  </r>
  <r>
    <x v="6"/>
    <n v="0"/>
  </r>
  <r>
    <x v="0"/>
    <n v="6.5199999999999994E-2"/>
  </r>
  <r>
    <x v="0"/>
    <n v="0"/>
  </r>
  <r>
    <x v="1"/>
    <n v="1.9199999999999998E-2"/>
  </r>
  <r>
    <x v="1"/>
    <n v="0"/>
  </r>
  <r>
    <x v="0"/>
    <n v="2.4400000000000002E-2"/>
  </r>
  <r>
    <x v="1"/>
    <n v="0"/>
  </r>
  <r>
    <x v="1"/>
    <n v="0.33329999999999999"/>
  </r>
  <r>
    <x v="1"/>
    <n v="0"/>
  </r>
  <r>
    <x v="2"/>
    <n v="7.1400000000000005E-2"/>
  </r>
  <r>
    <x v="2"/>
    <n v="2.63E-2"/>
  </r>
  <r>
    <x v="3"/>
    <n v="2.0799999999999999E-2"/>
  </r>
  <r>
    <x v="4"/>
    <n v="0.2"/>
  </r>
  <r>
    <x v="5"/>
    <n v="0"/>
  </r>
  <r>
    <x v="5"/>
    <n v="2.0799999999999999E-2"/>
  </r>
  <r>
    <x v="6"/>
    <n v="9.0899999999999995E-2"/>
  </r>
  <r>
    <x v="6"/>
    <n v="0"/>
  </r>
  <r>
    <x v="0"/>
    <n v="4.0800000000000003E-2"/>
  </r>
  <r>
    <x v="0"/>
    <n v="8.6999999999999994E-2"/>
  </r>
  <r>
    <x v="2"/>
    <n v="3.2300000000000002E-2"/>
  </r>
  <r>
    <x v="2"/>
    <n v="3.5700000000000003E-2"/>
  </r>
  <r>
    <x v="5"/>
    <n v="0.20749999999999999"/>
  </r>
  <r>
    <x v="0"/>
    <n v="2.2700000000000001E-2"/>
  </r>
  <r>
    <x v="1"/>
    <n v="0.108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n v="0.20449999999999999"/>
  </r>
  <r>
    <x v="1"/>
    <x v="0"/>
    <n v="0.23080000000000001"/>
  </r>
  <r>
    <x v="1"/>
    <x v="1"/>
    <n v="3.85E-2"/>
  </r>
  <r>
    <x v="1"/>
    <x v="2"/>
    <n v="0.1026"/>
  </r>
  <r>
    <x v="1"/>
    <x v="2"/>
    <n v="7.4999999999999997E-2"/>
  </r>
  <r>
    <x v="0"/>
    <x v="0"/>
    <n v="3.2300000000000002E-2"/>
  </r>
  <r>
    <x v="0"/>
    <x v="1"/>
    <n v="2.3300000000000001E-2"/>
  </r>
  <r>
    <x v="0"/>
    <x v="2"/>
    <n v="8.3299999999999999E-2"/>
  </r>
  <r>
    <x v="1"/>
    <x v="0"/>
    <n v="0.04"/>
  </r>
  <r>
    <x v="0"/>
    <x v="1"/>
    <n v="0.3"/>
  </r>
  <r>
    <x v="1"/>
    <x v="0"/>
    <n v="9.5200000000000007E-2"/>
  </r>
  <r>
    <x v="0"/>
    <x v="2"/>
    <n v="8.5099999999999995E-2"/>
  </r>
  <r>
    <x v="0"/>
    <x v="0"/>
    <n v="0.1429"/>
  </r>
  <r>
    <x v="1"/>
    <x v="0"/>
    <n v="2.0400000000000001E-2"/>
  </r>
  <r>
    <x v="0"/>
    <x v="2"/>
    <n v="9.7600000000000006E-2"/>
  </r>
  <r>
    <x v="1"/>
    <x v="2"/>
    <n v="3.4500000000000003E-2"/>
  </r>
  <r>
    <x v="0"/>
    <x v="0"/>
    <n v="2.9399999999999999E-2"/>
  </r>
  <r>
    <x v="1"/>
    <x v="1"/>
    <n v="0"/>
  </r>
  <r>
    <x v="0"/>
    <x v="0"/>
    <n v="6.6699999999999995E-2"/>
  </r>
  <r>
    <x v="1"/>
    <x v="0"/>
    <n v="9.3799999999999994E-2"/>
  </r>
  <r>
    <x v="1"/>
    <x v="0"/>
    <n v="0"/>
  </r>
  <r>
    <x v="0"/>
    <x v="0"/>
    <n v="0"/>
  </r>
  <r>
    <x v="0"/>
    <x v="0"/>
    <n v="0"/>
  </r>
  <r>
    <x v="1"/>
    <x v="2"/>
    <n v="0.15790000000000001"/>
  </r>
  <r>
    <x v="0"/>
    <x v="1"/>
    <n v="0.4194"/>
  </r>
  <r>
    <x v="0"/>
    <x v="0"/>
    <n v="0.26669999999999999"/>
  </r>
  <r>
    <x v="1"/>
    <x v="2"/>
    <n v="2.3300000000000001E-2"/>
  </r>
  <r>
    <x v="0"/>
    <x v="0"/>
    <n v="2.63E-2"/>
  </r>
  <r>
    <x v="1"/>
    <x v="2"/>
    <n v="5.1299999999999998E-2"/>
  </r>
  <r>
    <x v="0"/>
    <x v="2"/>
    <n v="9.0899999999999995E-2"/>
  </r>
  <r>
    <x v="1"/>
    <x v="0"/>
    <n v="3.3300000000000003E-2"/>
  </r>
  <r>
    <x v="0"/>
    <x v="2"/>
    <n v="0.2051"/>
  </r>
  <r>
    <x v="1"/>
    <x v="0"/>
    <n v="0"/>
  </r>
  <r>
    <x v="1"/>
    <x v="2"/>
    <n v="6.5199999999999994E-2"/>
  </r>
  <r>
    <x v="0"/>
    <x v="0"/>
    <n v="0"/>
  </r>
  <r>
    <x v="0"/>
    <x v="2"/>
    <n v="1.9199999999999998E-2"/>
  </r>
  <r>
    <x v="1"/>
    <x v="0"/>
    <n v="0"/>
  </r>
  <r>
    <x v="0"/>
    <x v="0"/>
    <n v="2.4400000000000002E-2"/>
  </r>
  <r>
    <x v="1"/>
    <x v="1"/>
    <n v="0"/>
  </r>
  <r>
    <x v="0"/>
    <x v="2"/>
    <n v="0.33329999999999999"/>
  </r>
  <r>
    <x v="1"/>
    <x v="0"/>
    <n v="0"/>
  </r>
  <r>
    <x v="0"/>
    <x v="2"/>
    <n v="7.1400000000000005E-2"/>
  </r>
  <r>
    <x v="1"/>
    <x v="2"/>
    <n v="2.63E-2"/>
  </r>
  <r>
    <x v="0"/>
    <x v="0"/>
    <n v="2.0799999999999999E-2"/>
  </r>
  <r>
    <x v="0"/>
    <x v="2"/>
    <n v="0.2"/>
  </r>
  <r>
    <x v="1"/>
    <x v="0"/>
    <n v="0"/>
  </r>
  <r>
    <x v="0"/>
    <x v="0"/>
    <n v="2.0799999999999999E-2"/>
  </r>
  <r>
    <x v="1"/>
    <x v="2"/>
    <n v="9.0899999999999995E-2"/>
  </r>
  <r>
    <x v="0"/>
    <x v="0"/>
    <n v="0"/>
  </r>
  <r>
    <x v="0"/>
    <x v="2"/>
    <n v="4.0800000000000003E-2"/>
  </r>
  <r>
    <x v="0"/>
    <x v="1"/>
    <n v="8.6999999999999994E-2"/>
  </r>
  <r>
    <x v="1"/>
    <x v="0"/>
    <n v="3.2300000000000002E-2"/>
  </r>
  <r>
    <x v="0"/>
    <x v="0"/>
    <n v="3.5700000000000003E-2"/>
  </r>
  <r>
    <x v="0"/>
    <x v="2"/>
    <n v="0.20749999999999999"/>
  </r>
  <r>
    <x v="1"/>
    <x v="0"/>
    <n v="2.2700000000000001E-2"/>
  </r>
  <r>
    <x v="1"/>
    <x v="2"/>
    <n v="0.10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55C71-61B9-4784-9A47-55A5F7E89AD4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12" firstHeaderRow="1" firstDataRow="1" firstDataCol="1"/>
  <pivotFields count="2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ercentage - Y" fld="1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ACCE2-75B0-4635-B364-E483A9EF3AF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H3:I12" firstHeaderRow="1" firstDataRow="1" firstDataCol="1"/>
  <pivotFields count="3">
    <pivotField axis="axisRow" showAll="0">
      <items count="3"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numFmtId="164" showAll="0"/>
  </pivotFields>
  <rowFields count="2">
    <field x="0"/>
    <field x="1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Percentage - Y" fld="2" subtotal="average" baseField="0" baseItem="0" numFmtId="10"/>
  </dataFields>
  <formats count="9">
    <format dxfId="8">
      <pivotArea outline="0" collapsedLevelsAreSubtotals="1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1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E1" workbookViewId="0">
      <selection activeCell="I18" sqref="I18"/>
    </sheetView>
  </sheetViews>
  <sheetFormatPr defaultColWidth="20.08984375" defaultRowHeight="14.5" x14ac:dyDescent="0.35"/>
  <cols>
    <col min="4" max="4" width="28.54296875" bestFit="1" customWidth="1"/>
    <col min="7" max="7" width="18.1796875" bestFit="1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8" ht="15" thickBot="1" x14ac:dyDescent="0.4">
      <c r="A2" s="2">
        <v>45930</v>
      </c>
      <c r="B2" s="3">
        <v>9</v>
      </c>
      <c r="C2" s="3">
        <v>44</v>
      </c>
      <c r="D2" s="4">
        <v>0.20449999999999999</v>
      </c>
      <c r="E2" s="9">
        <v>0.20449999999999999</v>
      </c>
    </row>
    <row r="3" spans="1:8" ht="15" thickBot="1" x14ac:dyDescent="0.4">
      <c r="A3" s="2">
        <v>45931</v>
      </c>
      <c r="B3" s="3">
        <v>9</v>
      </c>
      <c r="C3" s="3">
        <v>39</v>
      </c>
      <c r="D3" s="4">
        <v>0.23080000000000001</v>
      </c>
      <c r="E3" s="9">
        <v>0.23080000000000001</v>
      </c>
    </row>
    <row r="4" spans="1:8" ht="15" thickBot="1" x14ac:dyDescent="0.4">
      <c r="A4" s="2">
        <v>45932</v>
      </c>
      <c r="B4" s="3">
        <v>1</v>
      </c>
      <c r="C4" s="3">
        <v>26</v>
      </c>
      <c r="D4" s="4">
        <v>3.85E-2</v>
      </c>
      <c r="E4" s="9">
        <v>3.85E-2</v>
      </c>
      <c r="G4" s="5" t="s">
        <v>4</v>
      </c>
      <c r="H4" s="5"/>
    </row>
    <row r="5" spans="1:8" ht="15" thickBot="1" x14ac:dyDescent="0.4">
      <c r="A5" s="2">
        <v>45932</v>
      </c>
      <c r="B5" s="3">
        <v>4</v>
      </c>
      <c r="C5" s="3">
        <v>39</v>
      </c>
      <c r="D5" s="4">
        <v>0.1026</v>
      </c>
      <c r="E5" s="9">
        <v>0.1026</v>
      </c>
      <c r="G5" s="7" t="s">
        <v>18</v>
      </c>
      <c r="H5" s="8"/>
    </row>
    <row r="6" spans="1:8" ht="15" thickBot="1" x14ac:dyDescent="0.4">
      <c r="A6" s="2">
        <v>45933</v>
      </c>
      <c r="B6" s="3">
        <v>3</v>
      </c>
      <c r="C6" s="3">
        <v>40</v>
      </c>
      <c r="D6" s="4">
        <v>7.4999999999999997E-2</v>
      </c>
      <c r="E6" s="9">
        <v>7.4999999999999997E-2</v>
      </c>
      <c r="G6" s="8" t="s">
        <v>5</v>
      </c>
      <c r="H6" s="23">
        <v>0.10476666666666666</v>
      </c>
    </row>
    <row r="7" spans="1:8" ht="15" thickBot="1" x14ac:dyDescent="0.4">
      <c r="A7" s="2">
        <v>45933</v>
      </c>
      <c r="B7" s="3">
        <v>1</v>
      </c>
      <c r="C7" s="3">
        <v>31</v>
      </c>
      <c r="D7" s="4">
        <v>3.2300000000000002E-2</v>
      </c>
      <c r="E7" s="9">
        <v>3.2300000000000002E-2</v>
      </c>
      <c r="G7" s="8" t="s">
        <v>6</v>
      </c>
      <c r="H7" s="23">
        <v>2.1255199177224664E-2</v>
      </c>
    </row>
    <row r="8" spans="1:8" ht="15" thickBot="1" x14ac:dyDescent="0.4">
      <c r="A8" s="2">
        <v>45934</v>
      </c>
      <c r="B8" s="3">
        <v>1</v>
      </c>
      <c r="C8" s="3">
        <v>43</v>
      </c>
      <c r="D8" s="4">
        <v>2.3300000000000001E-2</v>
      </c>
      <c r="E8" s="9">
        <v>2.3300000000000001E-2</v>
      </c>
      <c r="G8" s="8" t="s">
        <v>7</v>
      </c>
      <c r="H8" s="23">
        <v>8.5099999999999995E-2</v>
      </c>
    </row>
    <row r="9" spans="1:8" ht="15" thickBot="1" x14ac:dyDescent="0.4">
      <c r="A9" s="2">
        <v>45935</v>
      </c>
      <c r="B9" s="3">
        <v>4</v>
      </c>
      <c r="C9" s="3">
        <v>48</v>
      </c>
      <c r="D9" s="4">
        <v>8.3299999999999999E-2</v>
      </c>
      <c r="E9" s="9">
        <v>8.3299999999999999E-2</v>
      </c>
      <c r="G9" s="8" t="s">
        <v>8</v>
      </c>
      <c r="H9" s="23" t="e">
        <v>#N/A</v>
      </c>
    </row>
    <row r="10" spans="1:8" ht="15" thickBot="1" x14ac:dyDescent="0.4">
      <c r="A10" s="2">
        <v>45936</v>
      </c>
      <c r="B10" s="3">
        <v>1</v>
      </c>
      <c r="C10" s="3">
        <v>25</v>
      </c>
      <c r="D10" s="4">
        <v>0.04</v>
      </c>
      <c r="E10" s="9">
        <v>0.04</v>
      </c>
      <c r="G10" s="8" t="s">
        <v>9</v>
      </c>
      <c r="H10" s="23">
        <v>8.2321032433712721E-2</v>
      </c>
    </row>
    <row r="11" spans="1:8" ht="15" thickBot="1" x14ac:dyDescent="0.4">
      <c r="A11" s="2">
        <v>45936</v>
      </c>
      <c r="B11" s="3">
        <v>12</v>
      </c>
      <c r="C11" s="3">
        <v>40</v>
      </c>
      <c r="D11" s="4">
        <v>0.3</v>
      </c>
      <c r="E11" s="9">
        <v>0.3</v>
      </c>
      <c r="G11" s="8" t="s">
        <v>10</v>
      </c>
      <c r="H11" s="23">
        <v>6.7767523809523821E-3</v>
      </c>
    </row>
    <row r="12" spans="1:8" ht="15" thickBot="1" x14ac:dyDescent="0.4">
      <c r="A12" s="2">
        <v>45936</v>
      </c>
      <c r="B12" s="3">
        <v>4</v>
      </c>
      <c r="C12" s="3">
        <v>42</v>
      </c>
      <c r="D12" s="4">
        <v>9.5200000000000007E-2</v>
      </c>
      <c r="E12" s="9">
        <v>9.5200000000000007E-2</v>
      </c>
      <c r="G12" s="8" t="s">
        <v>11</v>
      </c>
      <c r="H12" s="23">
        <v>0.93636475422881649</v>
      </c>
    </row>
    <row r="13" spans="1:8" ht="15" thickBot="1" x14ac:dyDescent="0.4">
      <c r="A13" s="2">
        <v>45937</v>
      </c>
      <c r="B13" s="3">
        <v>4</v>
      </c>
      <c r="C13" s="3">
        <v>47</v>
      </c>
      <c r="D13" s="4">
        <v>8.5099999999999995E-2</v>
      </c>
      <c r="E13" s="9">
        <v>8.5099999999999995E-2</v>
      </c>
      <c r="G13" s="8" t="s">
        <v>12</v>
      </c>
      <c r="H13" s="23">
        <v>1.235287242048001</v>
      </c>
    </row>
    <row r="14" spans="1:8" ht="15" thickBot="1" x14ac:dyDescent="0.4">
      <c r="A14" s="2">
        <v>45937</v>
      </c>
      <c r="B14" s="3">
        <v>4</v>
      </c>
      <c r="C14" s="3">
        <v>28</v>
      </c>
      <c r="D14" s="4">
        <v>0.1429</v>
      </c>
      <c r="E14" s="9">
        <v>0.1429</v>
      </c>
      <c r="G14" s="8" t="s">
        <v>13</v>
      </c>
      <c r="H14" s="23">
        <v>0.27959999999999996</v>
      </c>
    </row>
    <row r="15" spans="1:8" ht="15" thickBot="1" x14ac:dyDescent="0.4">
      <c r="A15" s="2">
        <v>45938</v>
      </c>
      <c r="B15" s="3">
        <v>1</v>
      </c>
      <c r="C15" s="3">
        <v>49</v>
      </c>
      <c r="D15" s="4">
        <v>2.0400000000000001E-2</v>
      </c>
      <c r="E15" s="9">
        <v>2.0400000000000001E-2</v>
      </c>
      <c r="G15" s="8" t="s">
        <v>14</v>
      </c>
      <c r="H15" s="23">
        <v>2.0400000000000001E-2</v>
      </c>
    </row>
    <row r="16" spans="1:8" ht="15" thickBot="1" x14ac:dyDescent="0.4">
      <c r="A16" s="2">
        <v>45939</v>
      </c>
      <c r="B16" s="3">
        <v>4</v>
      </c>
      <c r="C16" s="3">
        <v>41</v>
      </c>
      <c r="D16" s="4">
        <v>9.7600000000000006E-2</v>
      </c>
      <c r="E16" s="9">
        <v>9.7600000000000006E-2</v>
      </c>
      <c r="G16" s="8" t="s">
        <v>15</v>
      </c>
      <c r="H16" s="23">
        <v>0.3</v>
      </c>
    </row>
    <row r="17" spans="2:10" x14ac:dyDescent="0.35">
      <c r="B17">
        <f>SUM(B2:B16)</f>
        <v>62</v>
      </c>
      <c r="C17">
        <f>SUM(C2:C16)</f>
        <v>582</v>
      </c>
      <c r="G17" s="8" t="s">
        <v>16</v>
      </c>
      <c r="H17" s="23">
        <v>1.5714999999999999</v>
      </c>
      <c r="J17" t="s">
        <v>29</v>
      </c>
    </row>
    <row r="18" spans="2:10" x14ac:dyDescent="0.35">
      <c r="G18" s="8" t="s">
        <v>17</v>
      </c>
      <c r="H18" s="23">
        <v>15</v>
      </c>
      <c r="J18" t="s">
        <v>30</v>
      </c>
    </row>
    <row r="22" spans="2:10" ht="15" thickBot="1" x14ac:dyDescent="0.4">
      <c r="C22" t="s">
        <v>19</v>
      </c>
      <c r="F22" t="s">
        <v>45</v>
      </c>
      <c r="G22" t="s">
        <v>47</v>
      </c>
    </row>
    <row r="23" spans="2:10" ht="19" thickBot="1" x14ac:dyDescent="0.5">
      <c r="C23" s="43" t="s">
        <v>20</v>
      </c>
      <c r="D23" s="44"/>
      <c r="F23" t="s">
        <v>31</v>
      </c>
      <c r="G23" t="s">
        <v>32</v>
      </c>
      <c r="H23">
        <v>62</v>
      </c>
    </row>
    <row r="24" spans="2:10" ht="15.5" x14ac:dyDescent="0.35">
      <c r="C24" s="10" t="s">
        <v>21</v>
      </c>
      <c r="D24" s="11">
        <v>15</v>
      </c>
    </row>
    <row r="25" spans="2:10" ht="15.5" x14ac:dyDescent="0.35">
      <c r="C25" s="12" t="s">
        <v>5</v>
      </c>
      <c r="D25" s="13">
        <v>0.10476666666666666</v>
      </c>
      <c r="F25" t="s">
        <v>33</v>
      </c>
      <c r="G25" t="s">
        <v>34</v>
      </c>
      <c r="H25">
        <v>582</v>
      </c>
    </row>
    <row r="26" spans="2:10" ht="15.5" x14ac:dyDescent="0.35">
      <c r="C26" s="12" t="s">
        <v>9</v>
      </c>
      <c r="D26" s="13">
        <v>8.2321032433712721E-2</v>
      </c>
    </row>
    <row r="27" spans="2:10" ht="16" thickBot="1" x14ac:dyDescent="0.4">
      <c r="C27" s="14" t="s">
        <v>22</v>
      </c>
      <c r="D27" s="15">
        <v>0.05</v>
      </c>
      <c r="F27" t="s">
        <v>35</v>
      </c>
      <c r="G27" t="s">
        <v>36</v>
      </c>
      <c r="H27">
        <v>1</v>
      </c>
    </row>
    <row r="28" spans="2:10" ht="15" thickBot="1" x14ac:dyDescent="0.4"/>
    <row r="29" spans="2:10" ht="19" thickBot="1" x14ac:dyDescent="0.5">
      <c r="C29" s="43" t="s">
        <v>23</v>
      </c>
      <c r="D29" s="44"/>
      <c r="F29" t="s">
        <v>37</v>
      </c>
      <c r="G29" t="s">
        <v>38</v>
      </c>
      <c r="H29">
        <v>0.10652920962199312</v>
      </c>
    </row>
    <row r="30" spans="2:10" ht="15.5" x14ac:dyDescent="0.35">
      <c r="C30" s="16" t="s">
        <v>24</v>
      </c>
      <c r="D30" s="17">
        <v>0</v>
      </c>
    </row>
    <row r="31" spans="2:10" ht="15.5" x14ac:dyDescent="0.35">
      <c r="C31" s="18" t="s">
        <v>25</v>
      </c>
      <c r="D31" s="19">
        <v>0.33800000000000002</v>
      </c>
      <c r="F31" s="6" t="s">
        <v>39</v>
      </c>
      <c r="G31" s="6" t="s">
        <v>40</v>
      </c>
      <c r="H31" s="6">
        <v>106529.20962199313</v>
      </c>
    </row>
    <row r="32" spans="2:10" ht="15.5" x14ac:dyDescent="0.35">
      <c r="C32" s="18" t="s">
        <v>26</v>
      </c>
      <c r="D32" s="20" t="s">
        <v>28</v>
      </c>
    </row>
    <row r="33" spans="3:8" ht="16" thickBot="1" x14ac:dyDescent="0.4">
      <c r="C33" s="21" t="s">
        <v>27</v>
      </c>
      <c r="D33" s="22">
        <v>1.273181799893965</v>
      </c>
      <c r="F33" t="s">
        <v>41</v>
      </c>
      <c r="G33" t="s">
        <v>42</v>
      </c>
      <c r="H33">
        <v>89.347079037800697</v>
      </c>
    </row>
    <row r="35" spans="3:8" x14ac:dyDescent="0.35">
      <c r="F35" s="6" t="s">
        <v>43</v>
      </c>
      <c r="G35" s="6" t="s">
        <v>44</v>
      </c>
      <c r="H35" s="6">
        <v>2.7451995193805159</v>
      </c>
    </row>
    <row r="38" spans="3:8" x14ac:dyDescent="0.35">
      <c r="F38" t="s">
        <v>46</v>
      </c>
    </row>
    <row r="39" spans="3:8" x14ac:dyDescent="0.35">
      <c r="F39" t="s">
        <v>48</v>
      </c>
    </row>
    <row r="40" spans="3:8" x14ac:dyDescent="0.35">
      <c r="F40" t="s">
        <v>49</v>
      </c>
      <c r="G40" t="s">
        <v>50</v>
      </c>
    </row>
  </sheetData>
  <mergeCells count="2">
    <mergeCell ref="C23:D23"/>
    <mergeCell ref="C29:D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14A7-DBA9-42B4-82CB-A5470DA6164E}">
  <dimension ref="A1:J57"/>
  <sheetViews>
    <sheetView workbookViewId="0">
      <selection activeCell="D1" sqref="D1:H1048576"/>
    </sheetView>
  </sheetViews>
  <sheetFormatPr defaultRowHeight="14.5" x14ac:dyDescent="0.35"/>
  <cols>
    <col min="1" max="1" width="11.453125" customWidth="1"/>
    <col min="2" max="2" width="16.26953125" customWidth="1"/>
    <col min="3" max="3" width="18.81640625" customWidth="1"/>
    <col min="4" max="4" width="14" customWidth="1"/>
    <col min="5" max="5" width="14.08984375" customWidth="1"/>
    <col min="6" max="6" width="14.90625" customWidth="1"/>
    <col min="7" max="7" width="15.54296875" customWidth="1"/>
    <col min="8" max="8" width="15.36328125" customWidth="1"/>
    <col min="9" max="9" width="19.1796875" customWidth="1"/>
    <col min="10" max="10" width="13.81640625" customWidth="1"/>
  </cols>
  <sheetData>
    <row r="1" spans="1:10" ht="39.5" thickBot="1" x14ac:dyDescent="0.4">
      <c r="A1" s="25" t="s">
        <v>0</v>
      </c>
      <c r="B1" s="25" t="s">
        <v>1</v>
      </c>
      <c r="C1" s="25" t="s">
        <v>2</v>
      </c>
      <c r="D1" s="25" t="s">
        <v>3</v>
      </c>
      <c r="E1" s="25" t="s">
        <v>51</v>
      </c>
      <c r="F1" s="25" t="s">
        <v>52</v>
      </c>
      <c r="G1" s="25" t="s">
        <v>53</v>
      </c>
      <c r="H1" s="25" t="s">
        <v>54</v>
      </c>
      <c r="I1" s="25" t="s">
        <v>55</v>
      </c>
      <c r="J1" s="25" t="s">
        <v>56</v>
      </c>
    </row>
    <row r="2" spans="1:10" ht="15" thickBot="1" x14ac:dyDescent="0.4">
      <c r="A2" s="2">
        <v>45930</v>
      </c>
      <c r="B2" s="3">
        <v>9</v>
      </c>
      <c r="C2" s="3">
        <v>44</v>
      </c>
      <c r="D2" s="4">
        <v>0.20449999999999999</v>
      </c>
      <c r="E2" s="3">
        <v>13</v>
      </c>
      <c r="F2" s="3">
        <v>31</v>
      </c>
      <c r="G2" s="3">
        <v>2</v>
      </c>
      <c r="H2" s="3">
        <v>2</v>
      </c>
      <c r="I2" s="3">
        <v>2</v>
      </c>
      <c r="J2" s="24" t="s">
        <v>57</v>
      </c>
    </row>
    <row r="3" spans="1:10" ht="15" thickBot="1" x14ac:dyDescent="0.4">
      <c r="A3" s="2">
        <v>45931</v>
      </c>
      <c r="B3" s="3">
        <v>9</v>
      </c>
      <c r="C3" s="3">
        <v>39</v>
      </c>
      <c r="D3" s="4">
        <v>0.23080000000000001</v>
      </c>
      <c r="E3" s="3">
        <v>9</v>
      </c>
      <c r="F3" s="3">
        <v>30</v>
      </c>
      <c r="G3" s="3">
        <v>1</v>
      </c>
      <c r="H3" s="3">
        <v>3</v>
      </c>
      <c r="I3" s="3">
        <v>2</v>
      </c>
      <c r="J3" s="24" t="s">
        <v>58</v>
      </c>
    </row>
    <row r="4" spans="1:10" ht="15" thickBot="1" x14ac:dyDescent="0.4">
      <c r="A4" s="2">
        <v>45932</v>
      </c>
      <c r="B4" s="3">
        <v>1</v>
      </c>
      <c r="C4" s="3">
        <v>26</v>
      </c>
      <c r="D4" s="4">
        <v>3.85E-2</v>
      </c>
      <c r="E4" s="3">
        <v>10</v>
      </c>
      <c r="F4" s="3">
        <v>16</v>
      </c>
      <c r="G4" s="3">
        <v>1</v>
      </c>
      <c r="H4" s="3">
        <v>2</v>
      </c>
      <c r="I4" s="3">
        <v>1</v>
      </c>
      <c r="J4" s="24" t="s">
        <v>58</v>
      </c>
    </row>
    <row r="5" spans="1:10" ht="15" thickBot="1" x14ac:dyDescent="0.4">
      <c r="A5" s="2">
        <v>45932</v>
      </c>
      <c r="B5" s="3">
        <v>4</v>
      </c>
      <c r="C5" s="3">
        <v>39</v>
      </c>
      <c r="D5" s="4">
        <v>0.1026</v>
      </c>
      <c r="E5" s="3">
        <v>14</v>
      </c>
      <c r="F5" s="3">
        <v>25</v>
      </c>
      <c r="G5" s="3">
        <v>2</v>
      </c>
      <c r="H5" s="3">
        <v>3</v>
      </c>
      <c r="I5" s="3">
        <v>3</v>
      </c>
      <c r="J5" s="24" t="s">
        <v>58</v>
      </c>
    </row>
    <row r="6" spans="1:10" ht="15" thickBot="1" x14ac:dyDescent="0.4">
      <c r="A6" s="2">
        <v>45933</v>
      </c>
      <c r="B6" s="3">
        <v>3</v>
      </c>
      <c r="C6" s="3">
        <v>40</v>
      </c>
      <c r="D6" s="4">
        <v>7.4999999999999997E-2</v>
      </c>
      <c r="E6" s="3">
        <v>15</v>
      </c>
      <c r="F6" s="3">
        <v>25</v>
      </c>
      <c r="G6" s="3">
        <v>3</v>
      </c>
      <c r="H6" s="3">
        <v>5</v>
      </c>
      <c r="I6" s="3">
        <v>3</v>
      </c>
      <c r="J6" s="24" t="s">
        <v>58</v>
      </c>
    </row>
    <row r="7" spans="1:10" ht="15" thickBot="1" x14ac:dyDescent="0.4">
      <c r="A7" s="2">
        <v>45933</v>
      </c>
      <c r="B7" s="3">
        <v>1</v>
      </c>
      <c r="C7" s="3">
        <v>31</v>
      </c>
      <c r="D7" s="4">
        <v>3.2300000000000002E-2</v>
      </c>
      <c r="E7" s="3">
        <v>15</v>
      </c>
      <c r="F7" s="3">
        <v>24</v>
      </c>
      <c r="G7" s="3">
        <v>4</v>
      </c>
      <c r="H7" s="3">
        <v>1</v>
      </c>
      <c r="I7" s="3">
        <v>2</v>
      </c>
      <c r="J7" s="24" t="s">
        <v>57</v>
      </c>
    </row>
    <row r="8" spans="1:10" ht="15" thickBot="1" x14ac:dyDescent="0.4">
      <c r="A8" s="2">
        <v>45934</v>
      </c>
      <c r="B8" s="3">
        <v>1</v>
      </c>
      <c r="C8" s="3">
        <v>43</v>
      </c>
      <c r="D8" s="4">
        <v>2.3300000000000001E-2</v>
      </c>
      <c r="E8" s="3">
        <v>18</v>
      </c>
      <c r="F8" s="3">
        <v>25</v>
      </c>
      <c r="G8" s="3">
        <v>5</v>
      </c>
      <c r="H8" s="3">
        <v>7</v>
      </c>
      <c r="I8" s="3">
        <v>1</v>
      </c>
      <c r="J8" s="24" t="s">
        <v>57</v>
      </c>
    </row>
    <row r="9" spans="1:10" ht="15" thickBot="1" x14ac:dyDescent="0.4">
      <c r="A9" s="2">
        <v>45935</v>
      </c>
      <c r="B9" s="3">
        <v>4</v>
      </c>
      <c r="C9" s="3">
        <v>48</v>
      </c>
      <c r="D9" s="4">
        <v>8.3299999999999999E-2</v>
      </c>
      <c r="E9" s="3">
        <v>20</v>
      </c>
      <c r="F9" s="3">
        <v>28</v>
      </c>
      <c r="G9" s="3">
        <v>4</v>
      </c>
      <c r="H9" s="3">
        <v>6</v>
      </c>
      <c r="I9" s="3">
        <v>3</v>
      </c>
      <c r="J9" s="24" t="s">
        <v>57</v>
      </c>
    </row>
    <row r="10" spans="1:10" ht="15" thickBot="1" x14ac:dyDescent="0.4">
      <c r="A10" s="2">
        <v>45936</v>
      </c>
      <c r="B10" s="3">
        <v>1</v>
      </c>
      <c r="C10" s="3">
        <v>25</v>
      </c>
      <c r="D10" s="4">
        <v>0.04</v>
      </c>
      <c r="E10" s="3">
        <v>9</v>
      </c>
      <c r="F10" s="3">
        <v>16</v>
      </c>
      <c r="G10" s="3">
        <v>3</v>
      </c>
      <c r="H10" s="3">
        <v>4</v>
      </c>
      <c r="I10" s="3">
        <v>2</v>
      </c>
      <c r="J10" s="24" t="s">
        <v>58</v>
      </c>
    </row>
    <row r="11" spans="1:10" ht="15" thickBot="1" x14ac:dyDescent="0.4">
      <c r="A11" s="2">
        <v>45936</v>
      </c>
      <c r="B11" s="3">
        <v>12</v>
      </c>
      <c r="C11" s="3">
        <v>40</v>
      </c>
      <c r="D11" s="4">
        <v>0.3</v>
      </c>
      <c r="E11" s="3">
        <v>12</v>
      </c>
      <c r="F11" s="3">
        <v>28</v>
      </c>
      <c r="G11" s="3">
        <v>3</v>
      </c>
      <c r="H11" s="3">
        <v>1</v>
      </c>
      <c r="I11" s="3">
        <v>1</v>
      </c>
      <c r="J11" s="24" t="s">
        <v>57</v>
      </c>
    </row>
    <row r="12" spans="1:10" ht="15" thickBot="1" x14ac:dyDescent="0.4">
      <c r="A12" s="2">
        <v>45936</v>
      </c>
      <c r="B12" s="3">
        <v>4</v>
      </c>
      <c r="C12" s="3">
        <v>42</v>
      </c>
      <c r="D12" s="4">
        <v>9.5200000000000007E-2</v>
      </c>
      <c r="E12" s="3">
        <v>14</v>
      </c>
      <c r="F12" s="3">
        <v>28</v>
      </c>
      <c r="G12" s="3">
        <v>5</v>
      </c>
      <c r="H12" s="3">
        <v>2</v>
      </c>
      <c r="I12" s="3">
        <v>2</v>
      </c>
      <c r="J12" s="24" t="s">
        <v>58</v>
      </c>
    </row>
    <row r="13" spans="1:10" ht="15" thickBot="1" x14ac:dyDescent="0.4">
      <c r="A13" s="2">
        <v>45937</v>
      </c>
      <c r="B13" s="3">
        <v>4</v>
      </c>
      <c r="C13" s="3">
        <v>47</v>
      </c>
      <c r="D13" s="4">
        <v>8.5099999999999995E-2</v>
      </c>
      <c r="E13" s="3">
        <v>17</v>
      </c>
      <c r="F13" s="3">
        <v>30</v>
      </c>
      <c r="G13" s="3">
        <v>6</v>
      </c>
      <c r="H13" s="3">
        <v>3</v>
      </c>
      <c r="I13" s="3">
        <v>3</v>
      </c>
      <c r="J13" s="24" t="s">
        <v>57</v>
      </c>
    </row>
    <row r="14" spans="1:10" ht="15" thickBot="1" x14ac:dyDescent="0.4">
      <c r="A14" s="2">
        <v>45937</v>
      </c>
      <c r="B14" s="3">
        <v>4</v>
      </c>
      <c r="C14" s="3">
        <v>28</v>
      </c>
      <c r="D14" s="4">
        <v>0.1429</v>
      </c>
      <c r="E14" s="3">
        <v>12</v>
      </c>
      <c r="F14" s="3">
        <v>16</v>
      </c>
      <c r="G14" s="3">
        <v>2</v>
      </c>
      <c r="H14" s="3">
        <v>1</v>
      </c>
      <c r="I14" s="3">
        <v>2</v>
      </c>
      <c r="J14" s="24" t="s">
        <v>57</v>
      </c>
    </row>
    <row r="15" spans="1:10" ht="15" thickBot="1" x14ac:dyDescent="0.4">
      <c r="A15" s="2">
        <v>45938</v>
      </c>
      <c r="B15" s="3">
        <v>1</v>
      </c>
      <c r="C15" s="3">
        <v>49</v>
      </c>
      <c r="D15" s="4">
        <v>2.0400000000000001E-2</v>
      </c>
      <c r="E15" s="3">
        <v>17</v>
      </c>
      <c r="F15" s="3">
        <v>32</v>
      </c>
      <c r="G15" s="3">
        <v>3</v>
      </c>
      <c r="H15" s="3">
        <v>1</v>
      </c>
      <c r="I15" s="3">
        <v>2</v>
      </c>
      <c r="J15" s="24" t="s">
        <v>58</v>
      </c>
    </row>
    <row r="16" spans="1:10" ht="15" thickBot="1" x14ac:dyDescent="0.4">
      <c r="A16" s="2">
        <v>45939</v>
      </c>
      <c r="B16" s="3">
        <v>4</v>
      </c>
      <c r="C16" s="3">
        <v>41</v>
      </c>
      <c r="D16" s="4">
        <v>9.7600000000000006E-2</v>
      </c>
      <c r="E16" s="3">
        <v>15</v>
      </c>
      <c r="F16" s="3">
        <v>26</v>
      </c>
      <c r="G16" s="3">
        <v>10</v>
      </c>
      <c r="H16" s="3">
        <v>0</v>
      </c>
      <c r="I16" s="3">
        <v>3</v>
      </c>
      <c r="J16" s="24" t="s">
        <v>57</v>
      </c>
    </row>
    <row r="17" spans="1:10" ht="15" thickBot="1" x14ac:dyDescent="0.4">
      <c r="A17" s="2">
        <v>45939</v>
      </c>
      <c r="B17" s="3">
        <v>1</v>
      </c>
      <c r="C17" s="3">
        <v>29</v>
      </c>
      <c r="D17" s="4">
        <v>3.4500000000000003E-2</v>
      </c>
      <c r="E17" s="3">
        <v>13</v>
      </c>
      <c r="F17" s="3">
        <v>16</v>
      </c>
      <c r="G17" s="3">
        <v>6</v>
      </c>
      <c r="H17" s="3">
        <v>0</v>
      </c>
      <c r="I17" s="3">
        <v>3</v>
      </c>
      <c r="J17" s="24" t="s">
        <v>58</v>
      </c>
    </row>
    <row r="18" spans="1:10" ht="15" thickBot="1" x14ac:dyDescent="0.4">
      <c r="A18" s="2">
        <v>45940</v>
      </c>
      <c r="B18" s="3">
        <v>1</v>
      </c>
      <c r="C18" s="3">
        <v>34</v>
      </c>
      <c r="D18" s="4">
        <v>2.9399999999999999E-2</v>
      </c>
      <c r="E18" s="3">
        <v>11</v>
      </c>
      <c r="F18" s="3">
        <v>23</v>
      </c>
      <c r="G18" s="3">
        <v>1</v>
      </c>
      <c r="H18" s="3">
        <v>0</v>
      </c>
      <c r="I18" s="3">
        <v>2</v>
      </c>
      <c r="J18" s="24" t="s">
        <v>57</v>
      </c>
    </row>
    <row r="19" spans="1:10" ht="15" thickBot="1" x14ac:dyDescent="0.4">
      <c r="A19" s="2">
        <v>45940</v>
      </c>
      <c r="B19" s="3">
        <v>0</v>
      </c>
      <c r="C19" s="3">
        <v>22</v>
      </c>
      <c r="D19" s="4">
        <v>0</v>
      </c>
      <c r="E19" s="3">
        <v>4</v>
      </c>
      <c r="F19" s="3">
        <v>18</v>
      </c>
      <c r="G19" s="3">
        <v>0</v>
      </c>
      <c r="H19" s="3">
        <v>0</v>
      </c>
      <c r="I19" s="3">
        <v>1</v>
      </c>
      <c r="J19" s="24" t="s">
        <v>58</v>
      </c>
    </row>
    <row r="20" spans="1:10" ht="15" thickBot="1" x14ac:dyDescent="0.4">
      <c r="A20" s="2">
        <v>45941</v>
      </c>
      <c r="B20" s="3">
        <v>3</v>
      </c>
      <c r="C20" s="3">
        <v>45</v>
      </c>
      <c r="D20" s="4">
        <v>6.6699999999999995E-2</v>
      </c>
      <c r="E20" s="3">
        <v>12</v>
      </c>
      <c r="F20" s="3">
        <v>33</v>
      </c>
      <c r="G20" s="3">
        <v>3</v>
      </c>
      <c r="H20" s="3">
        <v>1</v>
      </c>
      <c r="I20" s="3">
        <v>2</v>
      </c>
      <c r="J20" s="24" t="s">
        <v>57</v>
      </c>
    </row>
    <row r="21" spans="1:10" ht="15" thickBot="1" x14ac:dyDescent="0.4">
      <c r="A21" s="2">
        <v>45942</v>
      </c>
      <c r="B21" s="3">
        <v>3</v>
      </c>
      <c r="C21" s="3">
        <v>32</v>
      </c>
      <c r="D21" s="4">
        <v>9.3799999999999994E-2</v>
      </c>
      <c r="E21" s="3">
        <v>9</v>
      </c>
      <c r="F21" s="3">
        <v>23</v>
      </c>
      <c r="G21" s="3">
        <v>2</v>
      </c>
      <c r="H21" s="3">
        <v>0</v>
      </c>
      <c r="I21" s="3">
        <v>2</v>
      </c>
      <c r="J21" s="24" t="s">
        <v>58</v>
      </c>
    </row>
    <row r="22" spans="1:10" ht="15" thickBot="1" x14ac:dyDescent="0.4">
      <c r="A22" s="2">
        <v>45942</v>
      </c>
      <c r="B22" s="3">
        <v>0</v>
      </c>
      <c r="C22" s="3">
        <v>39</v>
      </c>
      <c r="D22" s="4">
        <v>0</v>
      </c>
      <c r="E22" s="3">
        <v>12</v>
      </c>
      <c r="F22" s="3">
        <v>27</v>
      </c>
      <c r="G22" s="3">
        <v>1</v>
      </c>
      <c r="H22" s="3">
        <v>1</v>
      </c>
      <c r="I22" s="3">
        <v>2</v>
      </c>
      <c r="J22" s="24" t="s">
        <v>58</v>
      </c>
    </row>
    <row r="23" spans="1:10" ht="15" thickBot="1" x14ac:dyDescent="0.4">
      <c r="A23" s="2">
        <v>45943</v>
      </c>
      <c r="B23" s="3">
        <v>0</v>
      </c>
      <c r="C23" s="3">
        <v>33</v>
      </c>
      <c r="D23" s="4">
        <v>0</v>
      </c>
      <c r="E23" s="3">
        <v>13</v>
      </c>
      <c r="F23" s="3">
        <v>20</v>
      </c>
      <c r="G23" s="3">
        <v>0</v>
      </c>
      <c r="H23" s="3">
        <v>0</v>
      </c>
      <c r="I23" s="3">
        <v>2</v>
      </c>
      <c r="J23" s="24" t="s">
        <v>57</v>
      </c>
    </row>
    <row r="24" spans="1:10" ht="15" thickBot="1" x14ac:dyDescent="0.4">
      <c r="A24" s="2">
        <v>45943</v>
      </c>
      <c r="B24" s="3">
        <v>0</v>
      </c>
      <c r="C24" s="3">
        <v>22</v>
      </c>
      <c r="D24" s="4">
        <v>0</v>
      </c>
      <c r="E24" s="3">
        <v>12</v>
      </c>
      <c r="F24" s="3">
        <v>10</v>
      </c>
      <c r="G24" s="3">
        <v>1</v>
      </c>
      <c r="H24" s="3">
        <v>1</v>
      </c>
      <c r="I24" s="3">
        <v>2</v>
      </c>
      <c r="J24" s="24" t="s">
        <v>57</v>
      </c>
    </row>
    <row r="25" spans="1:10" ht="15" thickBot="1" x14ac:dyDescent="0.4">
      <c r="A25" s="2">
        <v>45944</v>
      </c>
      <c r="B25" s="3">
        <v>6</v>
      </c>
      <c r="C25" s="3">
        <v>38</v>
      </c>
      <c r="D25" s="4">
        <v>0.15790000000000001</v>
      </c>
      <c r="E25" s="3">
        <v>11</v>
      </c>
      <c r="F25" s="3">
        <v>27</v>
      </c>
      <c r="G25" s="3">
        <v>1</v>
      </c>
      <c r="H25" s="3">
        <v>2</v>
      </c>
      <c r="I25" s="3">
        <v>3</v>
      </c>
      <c r="J25" s="24" t="s">
        <v>58</v>
      </c>
    </row>
    <row r="26" spans="1:10" ht="15" thickBot="1" x14ac:dyDescent="0.4">
      <c r="A26" s="2">
        <v>45944</v>
      </c>
      <c r="B26" s="3">
        <v>13</v>
      </c>
      <c r="C26" s="3">
        <v>31</v>
      </c>
      <c r="D26" s="4">
        <v>0.4194</v>
      </c>
      <c r="E26" s="3">
        <v>9</v>
      </c>
      <c r="F26" s="3">
        <v>22</v>
      </c>
      <c r="G26" s="3">
        <v>1</v>
      </c>
      <c r="H26" s="3">
        <v>1</v>
      </c>
      <c r="I26" s="3">
        <v>1</v>
      </c>
      <c r="J26" s="24" t="s">
        <v>57</v>
      </c>
    </row>
    <row r="27" spans="1:10" ht="15" thickBot="1" x14ac:dyDescent="0.4">
      <c r="A27" s="2">
        <v>45945</v>
      </c>
      <c r="B27" s="3">
        <v>4</v>
      </c>
      <c r="C27" s="3">
        <v>15</v>
      </c>
      <c r="D27" s="4">
        <v>0.26669999999999999</v>
      </c>
      <c r="E27" s="3">
        <v>5</v>
      </c>
      <c r="F27" s="3">
        <v>10</v>
      </c>
      <c r="G27" s="3">
        <v>1</v>
      </c>
      <c r="H27" s="3">
        <v>0</v>
      </c>
      <c r="I27" s="3">
        <v>2</v>
      </c>
      <c r="J27" s="24" t="s">
        <v>57</v>
      </c>
    </row>
    <row r="28" spans="1:10" ht="15" thickBot="1" x14ac:dyDescent="0.4">
      <c r="A28" s="2">
        <v>45945</v>
      </c>
      <c r="B28" s="3">
        <v>1</v>
      </c>
      <c r="C28" s="3">
        <v>43</v>
      </c>
      <c r="D28" s="4">
        <v>2.3300000000000001E-2</v>
      </c>
      <c r="E28" s="3">
        <v>18</v>
      </c>
      <c r="F28" s="3">
        <v>25</v>
      </c>
      <c r="G28" s="3">
        <v>1</v>
      </c>
      <c r="H28" s="3">
        <v>0</v>
      </c>
      <c r="I28" s="3">
        <v>3</v>
      </c>
      <c r="J28" s="24" t="s">
        <v>58</v>
      </c>
    </row>
    <row r="29" spans="1:10" ht="15" thickBot="1" x14ac:dyDescent="0.4">
      <c r="A29" s="2">
        <v>45946</v>
      </c>
      <c r="B29" s="3">
        <v>1</v>
      </c>
      <c r="C29" s="3">
        <v>38</v>
      </c>
      <c r="D29" s="4">
        <v>2.63E-2</v>
      </c>
      <c r="E29" s="3">
        <v>15</v>
      </c>
      <c r="F29" s="3">
        <v>23</v>
      </c>
      <c r="G29" s="3">
        <v>2</v>
      </c>
      <c r="H29" s="3">
        <v>1</v>
      </c>
      <c r="I29" s="3">
        <v>2</v>
      </c>
      <c r="J29" s="24" t="s">
        <v>57</v>
      </c>
    </row>
    <row r="30" spans="1:10" ht="15" thickBot="1" x14ac:dyDescent="0.4">
      <c r="A30" s="2">
        <v>45947</v>
      </c>
      <c r="B30" s="3">
        <v>2</v>
      </c>
      <c r="C30" s="3">
        <v>39</v>
      </c>
      <c r="D30" s="4">
        <v>5.1299999999999998E-2</v>
      </c>
      <c r="E30" s="3">
        <v>11</v>
      </c>
      <c r="F30" s="3">
        <v>28</v>
      </c>
      <c r="G30" s="3">
        <v>1</v>
      </c>
      <c r="H30" s="3">
        <v>1</v>
      </c>
      <c r="I30" s="3">
        <v>3</v>
      </c>
      <c r="J30" s="24" t="s">
        <v>58</v>
      </c>
    </row>
    <row r="31" spans="1:10" ht="15" thickBot="1" x14ac:dyDescent="0.4">
      <c r="A31" s="2">
        <v>45948</v>
      </c>
      <c r="B31" s="3">
        <v>4</v>
      </c>
      <c r="C31" s="3">
        <v>44</v>
      </c>
      <c r="D31" s="4">
        <v>9.0899999999999995E-2</v>
      </c>
      <c r="E31" s="3">
        <v>12</v>
      </c>
      <c r="F31" s="3">
        <v>32</v>
      </c>
      <c r="G31" s="3">
        <v>1</v>
      </c>
      <c r="H31" s="3">
        <v>1</v>
      </c>
      <c r="I31" s="3">
        <v>3</v>
      </c>
      <c r="J31" s="24" t="s">
        <v>57</v>
      </c>
    </row>
    <row r="32" spans="1:10" ht="15" thickBot="1" x14ac:dyDescent="0.4">
      <c r="A32" s="2">
        <v>45948</v>
      </c>
      <c r="B32" s="3">
        <v>1</v>
      </c>
      <c r="C32" s="3">
        <v>30</v>
      </c>
      <c r="D32" s="4">
        <v>3.3300000000000003E-2</v>
      </c>
      <c r="E32" s="3">
        <v>11</v>
      </c>
      <c r="F32" s="3">
        <v>19</v>
      </c>
      <c r="G32" s="3">
        <v>1</v>
      </c>
      <c r="H32" s="3">
        <v>1</v>
      </c>
      <c r="I32" s="3">
        <v>2</v>
      </c>
      <c r="J32" s="24" t="s">
        <v>58</v>
      </c>
    </row>
    <row r="33" spans="1:10" ht="15" thickBot="1" x14ac:dyDescent="0.4">
      <c r="A33" s="2">
        <v>45949</v>
      </c>
      <c r="B33" s="3">
        <v>8</v>
      </c>
      <c r="C33" s="3">
        <v>39</v>
      </c>
      <c r="D33" s="4">
        <v>0.2051</v>
      </c>
      <c r="E33" s="3">
        <v>13</v>
      </c>
      <c r="F33" s="3">
        <v>26</v>
      </c>
      <c r="G33" s="3">
        <v>2</v>
      </c>
      <c r="H33" s="3">
        <v>4</v>
      </c>
      <c r="I33" s="3">
        <v>3</v>
      </c>
      <c r="J33" s="24" t="s">
        <v>57</v>
      </c>
    </row>
    <row r="34" spans="1:10" ht="15" thickBot="1" x14ac:dyDescent="0.4">
      <c r="A34" s="2">
        <v>45950</v>
      </c>
      <c r="B34" s="3">
        <v>0</v>
      </c>
      <c r="C34" s="3">
        <v>46</v>
      </c>
      <c r="D34" s="4">
        <v>0</v>
      </c>
      <c r="E34" s="3">
        <v>13</v>
      </c>
      <c r="F34" s="3">
        <v>33</v>
      </c>
      <c r="G34" s="3">
        <v>0</v>
      </c>
      <c r="H34" s="3">
        <v>0</v>
      </c>
      <c r="I34" s="3">
        <v>2</v>
      </c>
      <c r="J34" s="24" t="s">
        <v>58</v>
      </c>
    </row>
    <row r="35" spans="1:10" ht="15" thickBot="1" x14ac:dyDescent="0.4">
      <c r="A35" s="2">
        <v>45951</v>
      </c>
      <c r="B35" s="3">
        <v>3</v>
      </c>
      <c r="C35" s="3">
        <v>46</v>
      </c>
      <c r="D35" s="4">
        <v>6.5199999999999994E-2</v>
      </c>
      <c r="E35" s="3">
        <v>13</v>
      </c>
      <c r="F35" s="3">
        <v>33</v>
      </c>
      <c r="G35" s="3">
        <v>0</v>
      </c>
      <c r="H35" s="3">
        <v>2</v>
      </c>
      <c r="I35" s="3">
        <v>3</v>
      </c>
      <c r="J35" s="24" t="s">
        <v>58</v>
      </c>
    </row>
    <row r="36" spans="1:10" ht="15" thickBot="1" x14ac:dyDescent="0.4">
      <c r="A36" s="2">
        <v>45951</v>
      </c>
      <c r="B36" s="3">
        <v>0</v>
      </c>
      <c r="C36" s="3">
        <v>32</v>
      </c>
      <c r="D36" s="4">
        <v>0</v>
      </c>
      <c r="E36" s="3">
        <v>12</v>
      </c>
      <c r="F36" s="3">
        <v>20</v>
      </c>
      <c r="G36" s="3">
        <v>0</v>
      </c>
      <c r="H36" s="3">
        <v>3</v>
      </c>
      <c r="I36" s="3">
        <v>2</v>
      </c>
      <c r="J36" s="24" t="s">
        <v>57</v>
      </c>
    </row>
    <row r="37" spans="1:10" ht="15" thickBot="1" x14ac:dyDescent="0.4">
      <c r="A37" s="2">
        <v>45952</v>
      </c>
      <c r="B37" s="3">
        <v>1</v>
      </c>
      <c r="C37" s="3">
        <v>52</v>
      </c>
      <c r="D37" s="4">
        <v>1.9199999999999998E-2</v>
      </c>
      <c r="E37" s="3">
        <v>17</v>
      </c>
      <c r="F37" s="3">
        <v>35</v>
      </c>
      <c r="G37" s="3">
        <v>0</v>
      </c>
      <c r="H37" s="3">
        <v>1</v>
      </c>
      <c r="I37" s="3">
        <v>3</v>
      </c>
      <c r="J37" s="24" t="s">
        <v>57</v>
      </c>
    </row>
    <row r="38" spans="1:10" ht="15" thickBot="1" x14ac:dyDescent="0.4">
      <c r="A38" s="2">
        <v>45952</v>
      </c>
      <c r="B38" s="3">
        <v>0</v>
      </c>
      <c r="C38" s="3">
        <v>28</v>
      </c>
      <c r="D38" s="4">
        <v>0</v>
      </c>
      <c r="E38" s="3">
        <v>9</v>
      </c>
      <c r="F38" s="3">
        <v>19</v>
      </c>
      <c r="G38" s="3">
        <v>0</v>
      </c>
      <c r="H38" s="3">
        <v>1</v>
      </c>
      <c r="I38" s="3">
        <v>2</v>
      </c>
      <c r="J38" s="24" t="s">
        <v>58</v>
      </c>
    </row>
    <row r="39" spans="1:10" ht="15" thickBot="1" x14ac:dyDescent="0.4">
      <c r="A39" s="2">
        <v>45958</v>
      </c>
      <c r="B39" s="3">
        <v>1</v>
      </c>
      <c r="C39" s="3">
        <v>41</v>
      </c>
      <c r="D39" s="4">
        <v>2.4400000000000002E-2</v>
      </c>
      <c r="E39" s="3">
        <v>13</v>
      </c>
      <c r="F39" s="3">
        <v>28</v>
      </c>
      <c r="G39" s="3">
        <v>0</v>
      </c>
      <c r="H39" s="3">
        <v>0</v>
      </c>
      <c r="I39" s="3">
        <v>2</v>
      </c>
      <c r="J39" s="24" t="s">
        <v>57</v>
      </c>
    </row>
    <row r="40" spans="1:10" ht="15" thickBot="1" x14ac:dyDescent="0.4">
      <c r="A40" s="2">
        <v>45959</v>
      </c>
      <c r="B40" s="3">
        <v>0</v>
      </c>
      <c r="C40" s="3">
        <v>18</v>
      </c>
      <c r="D40" s="4">
        <v>0</v>
      </c>
      <c r="E40" s="3">
        <v>8</v>
      </c>
      <c r="F40" s="3">
        <v>10</v>
      </c>
      <c r="G40" s="3">
        <v>0</v>
      </c>
      <c r="H40" s="3">
        <v>0</v>
      </c>
      <c r="I40" s="3">
        <v>1</v>
      </c>
      <c r="J40" s="24" t="s">
        <v>58</v>
      </c>
    </row>
    <row r="41" spans="1:10" ht="15" thickBot="1" x14ac:dyDescent="0.4">
      <c r="A41" s="2">
        <v>45959</v>
      </c>
      <c r="B41" s="3">
        <v>11</v>
      </c>
      <c r="C41" s="3">
        <v>33</v>
      </c>
      <c r="D41" s="4">
        <v>0.33329999999999999</v>
      </c>
      <c r="E41" s="3">
        <v>10</v>
      </c>
      <c r="F41" s="3">
        <v>23</v>
      </c>
      <c r="G41" s="3">
        <v>0</v>
      </c>
      <c r="H41" s="3">
        <v>1</v>
      </c>
      <c r="I41" s="3">
        <v>3</v>
      </c>
      <c r="J41" s="24" t="s">
        <v>57</v>
      </c>
    </row>
    <row r="42" spans="1:10" ht="15" thickBot="1" x14ac:dyDescent="0.4">
      <c r="A42" s="2">
        <v>45959</v>
      </c>
      <c r="B42" s="3">
        <v>0</v>
      </c>
      <c r="C42" s="3">
        <v>30</v>
      </c>
      <c r="D42" s="4">
        <v>0</v>
      </c>
      <c r="E42" s="3">
        <v>13</v>
      </c>
      <c r="F42" s="3">
        <v>17</v>
      </c>
      <c r="G42" s="3">
        <v>0</v>
      </c>
      <c r="H42" s="3">
        <v>1</v>
      </c>
      <c r="I42" s="3">
        <v>2</v>
      </c>
      <c r="J42" s="24" t="s">
        <v>58</v>
      </c>
    </row>
    <row r="43" spans="1:10" ht="15" thickBot="1" x14ac:dyDescent="0.4">
      <c r="A43" s="2">
        <v>45960</v>
      </c>
      <c r="B43" s="3">
        <v>3</v>
      </c>
      <c r="C43" s="3">
        <v>42</v>
      </c>
      <c r="D43" s="4">
        <v>7.1400000000000005E-2</v>
      </c>
      <c r="E43" s="3">
        <v>16</v>
      </c>
      <c r="F43" s="3">
        <v>26</v>
      </c>
      <c r="G43" s="3">
        <v>0</v>
      </c>
      <c r="H43" s="3">
        <v>0</v>
      </c>
      <c r="I43" s="3">
        <v>3</v>
      </c>
      <c r="J43" s="24" t="s">
        <v>57</v>
      </c>
    </row>
    <row r="44" spans="1:10" ht="15" thickBot="1" x14ac:dyDescent="0.4">
      <c r="A44" s="2">
        <v>45960</v>
      </c>
      <c r="B44" s="3">
        <v>1</v>
      </c>
      <c r="C44" s="3">
        <v>38</v>
      </c>
      <c r="D44" s="4">
        <v>2.63E-2</v>
      </c>
      <c r="E44" s="3">
        <v>14</v>
      </c>
      <c r="F44" s="3">
        <v>24</v>
      </c>
      <c r="G44" s="3">
        <v>0</v>
      </c>
      <c r="H44" s="3">
        <v>4</v>
      </c>
      <c r="I44" s="3">
        <v>3</v>
      </c>
      <c r="J44" s="24" t="s">
        <v>58</v>
      </c>
    </row>
    <row r="45" spans="1:10" ht="15" thickBot="1" x14ac:dyDescent="0.4">
      <c r="A45" s="2">
        <v>45961</v>
      </c>
      <c r="B45" s="3">
        <v>1</v>
      </c>
      <c r="C45" s="3">
        <v>48</v>
      </c>
      <c r="D45" s="4">
        <v>2.0799999999999999E-2</v>
      </c>
      <c r="E45" s="3">
        <v>14</v>
      </c>
      <c r="F45" s="3">
        <v>34</v>
      </c>
      <c r="G45" s="3">
        <v>4</v>
      </c>
      <c r="H45" s="3">
        <v>4</v>
      </c>
      <c r="I45" s="3">
        <v>2</v>
      </c>
      <c r="J45" s="24" t="s">
        <v>57</v>
      </c>
    </row>
    <row r="46" spans="1:10" ht="15" thickBot="1" x14ac:dyDescent="0.4">
      <c r="A46" s="2">
        <v>45962</v>
      </c>
      <c r="B46" s="3">
        <v>9</v>
      </c>
      <c r="C46" s="3">
        <v>45</v>
      </c>
      <c r="D46" s="4">
        <v>0.2</v>
      </c>
      <c r="E46" s="3">
        <v>17</v>
      </c>
      <c r="F46" s="3">
        <v>28</v>
      </c>
      <c r="G46" s="3">
        <v>0</v>
      </c>
      <c r="H46" s="3">
        <v>0</v>
      </c>
      <c r="I46" s="3">
        <v>3</v>
      </c>
      <c r="J46" s="24" t="s">
        <v>57</v>
      </c>
    </row>
    <row r="47" spans="1:10" ht="15" thickBot="1" x14ac:dyDescent="0.4">
      <c r="A47" s="2">
        <v>45963</v>
      </c>
      <c r="B47" s="3">
        <v>0</v>
      </c>
      <c r="C47" s="3">
        <v>20</v>
      </c>
      <c r="D47" s="4">
        <v>0</v>
      </c>
      <c r="E47" s="3">
        <v>7</v>
      </c>
      <c r="F47" s="3">
        <v>13</v>
      </c>
      <c r="G47" s="3">
        <v>0</v>
      </c>
      <c r="H47" s="3">
        <v>0</v>
      </c>
      <c r="I47" s="3">
        <v>2</v>
      </c>
      <c r="J47" s="24" t="s">
        <v>58</v>
      </c>
    </row>
    <row r="48" spans="1:10" ht="15" thickBot="1" x14ac:dyDescent="0.4">
      <c r="A48" s="2">
        <v>45963</v>
      </c>
      <c r="B48" s="3">
        <v>1</v>
      </c>
      <c r="C48" s="3">
        <v>48</v>
      </c>
      <c r="D48" s="4">
        <v>2.0799999999999999E-2</v>
      </c>
      <c r="E48" s="3">
        <v>16</v>
      </c>
      <c r="F48" s="3">
        <v>32</v>
      </c>
      <c r="G48" s="3">
        <v>0</v>
      </c>
      <c r="H48" s="3">
        <v>0</v>
      </c>
      <c r="I48" s="3">
        <v>2</v>
      </c>
      <c r="J48" s="24" t="s">
        <v>57</v>
      </c>
    </row>
    <row r="49" spans="1:10" ht="15" thickBot="1" x14ac:dyDescent="0.4">
      <c r="A49" s="2">
        <v>45964</v>
      </c>
      <c r="B49" s="3">
        <v>4</v>
      </c>
      <c r="C49" s="3">
        <v>44</v>
      </c>
      <c r="D49" s="4">
        <v>9.0899999999999995E-2</v>
      </c>
      <c r="E49" s="3">
        <v>14</v>
      </c>
      <c r="F49" s="3">
        <v>30</v>
      </c>
      <c r="G49" s="3">
        <v>2</v>
      </c>
      <c r="H49" s="3">
        <v>1</v>
      </c>
      <c r="I49" s="3">
        <v>3</v>
      </c>
      <c r="J49" s="24" t="s">
        <v>58</v>
      </c>
    </row>
    <row r="50" spans="1:10" ht="15" thickBot="1" x14ac:dyDescent="0.4">
      <c r="A50" s="2">
        <v>45964</v>
      </c>
      <c r="B50" s="3">
        <v>0</v>
      </c>
      <c r="C50" s="3">
        <v>25</v>
      </c>
      <c r="D50" s="4">
        <v>0</v>
      </c>
      <c r="E50" s="3">
        <v>5</v>
      </c>
      <c r="F50" s="3">
        <v>20</v>
      </c>
      <c r="G50" s="3">
        <v>0</v>
      </c>
      <c r="H50" s="3">
        <v>0</v>
      </c>
      <c r="I50" s="3">
        <v>2</v>
      </c>
      <c r="J50" s="24" t="s">
        <v>57</v>
      </c>
    </row>
    <row r="51" spans="1:10" ht="15" thickBot="1" x14ac:dyDescent="0.4">
      <c r="A51" s="2">
        <v>45965</v>
      </c>
      <c r="B51" s="3">
        <v>2</v>
      </c>
      <c r="C51" s="3">
        <v>49</v>
      </c>
      <c r="D51" s="4">
        <v>4.0800000000000003E-2</v>
      </c>
      <c r="E51" s="3">
        <v>16</v>
      </c>
      <c r="F51" s="3">
        <v>33</v>
      </c>
      <c r="G51" s="3">
        <v>0</v>
      </c>
      <c r="H51" s="3">
        <v>1</v>
      </c>
      <c r="I51" s="3">
        <v>3</v>
      </c>
      <c r="J51" s="24" t="s">
        <v>57</v>
      </c>
    </row>
    <row r="52" spans="1:10" ht="15" thickBot="1" x14ac:dyDescent="0.4">
      <c r="A52" s="2">
        <v>45965</v>
      </c>
      <c r="B52" s="3">
        <v>2</v>
      </c>
      <c r="C52" s="3">
        <v>23</v>
      </c>
      <c r="D52" s="4">
        <v>8.6999999999999994E-2</v>
      </c>
      <c r="E52" s="3">
        <v>5</v>
      </c>
      <c r="F52" s="3">
        <v>18</v>
      </c>
      <c r="G52" s="3">
        <v>0</v>
      </c>
      <c r="H52" s="3">
        <v>0</v>
      </c>
      <c r="I52" s="3">
        <v>1</v>
      </c>
      <c r="J52" s="24" t="s">
        <v>57</v>
      </c>
    </row>
    <row r="53" spans="1:10" ht="15" thickBot="1" x14ac:dyDescent="0.4">
      <c r="A53" s="2">
        <v>45967</v>
      </c>
      <c r="B53" s="3">
        <v>1</v>
      </c>
      <c r="C53" s="3">
        <v>31</v>
      </c>
      <c r="D53" s="4">
        <v>3.2300000000000002E-2</v>
      </c>
      <c r="E53" s="3">
        <v>12</v>
      </c>
      <c r="F53" s="3">
        <v>19</v>
      </c>
      <c r="G53" s="3">
        <v>0</v>
      </c>
      <c r="H53" s="3">
        <v>0</v>
      </c>
      <c r="I53" s="3">
        <v>2</v>
      </c>
      <c r="J53" s="24" t="s">
        <v>58</v>
      </c>
    </row>
    <row r="54" spans="1:10" ht="15" thickBot="1" x14ac:dyDescent="0.4">
      <c r="A54" s="2">
        <v>45967</v>
      </c>
      <c r="B54" s="3">
        <v>1</v>
      </c>
      <c r="C54" s="3">
        <v>28</v>
      </c>
      <c r="D54" s="4">
        <v>3.5700000000000003E-2</v>
      </c>
      <c r="E54" s="3">
        <v>10</v>
      </c>
      <c r="F54" s="3">
        <v>18</v>
      </c>
      <c r="G54" s="3">
        <v>0</v>
      </c>
      <c r="H54" s="3">
        <v>0</v>
      </c>
      <c r="I54" s="3">
        <v>2</v>
      </c>
      <c r="J54" s="24" t="s">
        <v>57</v>
      </c>
    </row>
    <row r="55" spans="1:10" ht="15" thickBot="1" x14ac:dyDescent="0.4">
      <c r="A55" s="2">
        <v>45970</v>
      </c>
      <c r="B55" s="3">
        <v>11</v>
      </c>
      <c r="C55" s="3">
        <v>53</v>
      </c>
      <c r="D55" s="4">
        <v>0.20749999999999999</v>
      </c>
      <c r="E55" s="3">
        <v>11</v>
      </c>
      <c r="F55" s="3">
        <v>42</v>
      </c>
      <c r="G55" s="3">
        <v>0</v>
      </c>
      <c r="H55" s="3">
        <v>0</v>
      </c>
      <c r="I55" s="3">
        <v>3</v>
      </c>
      <c r="J55" s="24" t="s">
        <v>57</v>
      </c>
    </row>
    <row r="56" spans="1:10" ht="15" thickBot="1" x14ac:dyDescent="0.4">
      <c r="A56" s="2">
        <v>45972</v>
      </c>
      <c r="B56" s="3">
        <v>1</v>
      </c>
      <c r="C56" s="3">
        <v>44</v>
      </c>
      <c r="D56" s="4">
        <v>2.2700000000000001E-2</v>
      </c>
      <c r="E56" s="3">
        <v>19</v>
      </c>
      <c r="F56" s="3">
        <v>25</v>
      </c>
      <c r="G56" s="3">
        <v>4</v>
      </c>
      <c r="H56" s="3">
        <v>0</v>
      </c>
      <c r="I56" s="3">
        <v>2</v>
      </c>
      <c r="J56" s="24" t="s">
        <v>58</v>
      </c>
    </row>
    <row r="57" spans="1:10" ht="15" thickBot="1" x14ac:dyDescent="0.4">
      <c r="A57" s="2">
        <v>45973</v>
      </c>
      <c r="B57" s="3">
        <v>4</v>
      </c>
      <c r="C57" s="3">
        <v>37</v>
      </c>
      <c r="D57" s="4">
        <v>0.1081</v>
      </c>
      <c r="E57" s="3">
        <v>10</v>
      </c>
      <c r="F57" s="3">
        <v>27</v>
      </c>
      <c r="G57" s="3">
        <v>0</v>
      </c>
      <c r="H57" s="3">
        <v>0</v>
      </c>
      <c r="I57" s="3">
        <v>3</v>
      </c>
      <c r="J57" s="24" t="s">
        <v>58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96C1-7D2B-43F7-AD8C-B9C1F83977E8}">
  <dimension ref="A1:J57"/>
  <sheetViews>
    <sheetView topLeftCell="A39" workbookViewId="0">
      <selection sqref="A1:J57"/>
    </sheetView>
  </sheetViews>
  <sheetFormatPr defaultRowHeight="14.5" x14ac:dyDescent="0.35"/>
  <cols>
    <col min="1" max="1" width="11.453125" customWidth="1"/>
    <col min="2" max="2" width="16.26953125" customWidth="1"/>
    <col min="3" max="3" width="18.81640625" customWidth="1"/>
    <col min="4" max="4" width="14" customWidth="1"/>
    <col min="5" max="5" width="14.08984375" customWidth="1"/>
    <col min="6" max="6" width="14.90625" customWidth="1"/>
    <col min="7" max="7" width="15.54296875" customWidth="1"/>
    <col min="8" max="8" width="15.36328125" customWidth="1"/>
    <col min="9" max="9" width="19.1796875" customWidth="1"/>
    <col min="10" max="10" width="13.81640625" customWidth="1"/>
  </cols>
  <sheetData>
    <row r="1" spans="1:10" ht="39.5" thickBot="1" x14ac:dyDescent="0.4">
      <c r="A1" s="25" t="s">
        <v>0</v>
      </c>
      <c r="B1" s="25" t="s">
        <v>1</v>
      </c>
      <c r="C1" s="25" t="s">
        <v>2</v>
      </c>
      <c r="D1" s="25" t="s">
        <v>3</v>
      </c>
      <c r="E1" s="25" t="s">
        <v>51</v>
      </c>
      <c r="F1" s="25" t="s">
        <v>52</v>
      </c>
      <c r="G1" s="25" t="s">
        <v>53</v>
      </c>
      <c r="H1" s="25" t="s">
        <v>54</v>
      </c>
      <c r="I1" s="25" t="s">
        <v>55</v>
      </c>
      <c r="J1" s="25" t="s">
        <v>56</v>
      </c>
    </row>
    <row r="2" spans="1:10" ht="15" thickBot="1" x14ac:dyDescent="0.4">
      <c r="A2" s="2">
        <v>45930</v>
      </c>
      <c r="B2" s="3">
        <v>9</v>
      </c>
      <c r="C2" s="3">
        <v>44</v>
      </c>
      <c r="D2" s="4">
        <v>0.20449999999999999</v>
      </c>
      <c r="E2" s="3">
        <v>13</v>
      </c>
      <c r="F2" s="3">
        <v>31</v>
      </c>
      <c r="G2" s="3">
        <v>2</v>
      </c>
      <c r="H2" s="3">
        <v>2</v>
      </c>
      <c r="I2" s="3">
        <v>2</v>
      </c>
      <c r="J2" s="24" t="s">
        <v>57</v>
      </c>
    </row>
    <row r="3" spans="1:10" ht="15" thickBot="1" x14ac:dyDescent="0.4">
      <c r="A3" s="2">
        <v>45931</v>
      </c>
      <c r="B3" s="3">
        <v>9</v>
      </c>
      <c r="C3" s="3">
        <v>39</v>
      </c>
      <c r="D3" s="4">
        <v>0.23080000000000001</v>
      </c>
      <c r="E3" s="3">
        <v>9</v>
      </c>
      <c r="F3" s="3">
        <v>30</v>
      </c>
      <c r="G3" s="3">
        <v>1</v>
      </c>
      <c r="H3" s="3">
        <v>3</v>
      </c>
      <c r="I3" s="3">
        <v>2</v>
      </c>
      <c r="J3" s="24" t="s">
        <v>58</v>
      </c>
    </row>
    <row r="4" spans="1:10" ht="15" thickBot="1" x14ac:dyDescent="0.4">
      <c r="A4" s="2">
        <v>45932</v>
      </c>
      <c r="B4" s="3">
        <v>1</v>
      </c>
      <c r="C4" s="3">
        <v>26</v>
      </c>
      <c r="D4" s="4">
        <v>3.85E-2</v>
      </c>
      <c r="E4" s="3">
        <v>10</v>
      </c>
      <c r="F4" s="3">
        <v>16</v>
      </c>
      <c r="G4" s="3">
        <v>1</v>
      </c>
      <c r="H4" s="3">
        <v>2</v>
      </c>
      <c r="I4" s="3">
        <v>1</v>
      </c>
      <c r="J4" s="24" t="s">
        <v>58</v>
      </c>
    </row>
    <row r="5" spans="1:10" ht="15" thickBot="1" x14ac:dyDescent="0.4">
      <c r="A5" s="2">
        <v>45932</v>
      </c>
      <c r="B5" s="3">
        <v>4</v>
      </c>
      <c r="C5" s="3">
        <v>39</v>
      </c>
      <c r="D5" s="4">
        <v>0.1026</v>
      </c>
      <c r="E5" s="3">
        <v>14</v>
      </c>
      <c r="F5" s="3">
        <v>25</v>
      </c>
      <c r="G5" s="3">
        <v>2</v>
      </c>
      <c r="H5" s="3">
        <v>3</v>
      </c>
      <c r="I5" s="3">
        <v>3</v>
      </c>
      <c r="J5" s="24" t="s">
        <v>58</v>
      </c>
    </row>
    <row r="6" spans="1:10" ht="15" thickBot="1" x14ac:dyDescent="0.4">
      <c r="A6" s="2">
        <v>45933</v>
      </c>
      <c r="B6" s="3">
        <v>3</v>
      </c>
      <c r="C6" s="3">
        <v>40</v>
      </c>
      <c r="D6" s="4">
        <v>7.4999999999999997E-2</v>
      </c>
      <c r="E6" s="3">
        <v>15</v>
      </c>
      <c r="F6" s="3">
        <v>25</v>
      </c>
      <c r="G6" s="3">
        <v>3</v>
      </c>
      <c r="H6" s="3">
        <v>5</v>
      </c>
      <c r="I6" s="3">
        <v>3</v>
      </c>
      <c r="J6" s="24" t="s">
        <v>58</v>
      </c>
    </row>
    <row r="7" spans="1:10" ht="15" thickBot="1" x14ac:dyDescent="0.4">
      <c r="A7" s="2">
        <v>45933</v>
      </c>
      <c r="B7" s="3">
        <v>1</v>
      </c>
      <c r="C7" s="3">
        <v>31</v>
      </c>
      <c r="D7" s="4">
        <v>3.2300000000000002E-2</v>
      </c>
      <c r="E7" s="3">
        <v>15</v>
      </c>
      <c r="F7" s="3">
        <v>24</v>
      </c>
      <c r="G7" s="3">
        <v>4</v>
      </c>
      <c r="H7" s="3">
        <v>1</v>
      </c>
      <c r="I7" s="3">
        <v>2</v>
      </c>
      <c r="J7" s="24" t="s">
        <v>57</v>
      </c>
    </row>
    <row r="8" spans="1:10" ht="15" thickBot="1" x14ac:dyDescent="0.4">
      <c r="A8" s="2">
        <v>45934</v>
      </c>
      <c r="B8" s="3">
        <v>1</v>
      </c>
      <c r="C8" s="3">
        <v>43</v>
      </c>
      <c r="D8" s="4">
        <v>2.3300000000000001E-2</v>
      </c>
      <c r="E8" s="3">
        <v>18</v>
      </c>
      <c r="F8" s="3">
        <v>25</v>
      </c>
      <c r="G8" s="3">
        <v>5</v>
      </c>
      <c r="H8" s="3">
        <v>7</v>
      </c>
      <c r="I8" s="3">
        <v>1</v>
      </c>
      <c r="J8" s="24" t="s">
        <v>57</v>
      </c>
    </row>
    <row r="9" spans="1:10" ht="15" thickBot="1" x14ac:dyDescent="0.4">
      <c r="A9" s="2">
        <v>45935</v>
      </c>
      <c r="B9" s="3">
        <v>4</v>
      </c>
      <c r="C9" s="3">
        <v>48</v>
      </c>
      <c r="D9" s="4">
        <v>8.3299999999999999E-2</v>
      </c>
      <c r="E9" s="3">
        <v>20</v>
      </c>
      <c r="F9" s="3">
        <v>28</v>
      </c>
      <c r="G9" s="3">
        <v>4</v>
      </c>
      <c r="H9" s="3">
        <v>6</v>
      </c>
      <c r="I9" s="3">
        <v>3</v>
      </c>
      <c r="J9" s="24" t="s">
        <v>57</v>
      </c>
    </row>
    <row r="10" spans="1:10" ht="15" thickBot="1" x14ac:dyDescent="0.4">
      <c r="A10" s="2">
        <v>45936</v>
      </c>
      <c r="B10" s="3">
        <v>1</v>
      </c>
      <c r="C10" s="3">
        <v>25</v>
      </c>
      <c r="D10" s="4">
        <v>0.04</v>
      </c>
      <c r="E10" s="3">
        <v>9</v>
      </c>
      <c r="F10" s="3">
        <v>16</v>
      </c>
      <c r="G10" s="3">
        <v>3</v>
      </c>
      <c r="H10" s="3">
        <v>4</v>
      </c>
      <c r="I10" s="3">
        <v>2</v>
      </c>
      <c r="J10" s="24" t="s">
        <v>58</v>
      </c>
    </row>
    <row r="11" spans="1:10" ht="15" thickBot="1" x14ac:dyDescent="0.4">
      <c r="A11" s="2">
        <v>45936</v>
      </c>
      <c r="B11" s="3">
        <v>12</v>
      </c>
      <c r="C11" s="3">
        <v>40</v>
      </c>
      <c r="D11" s="4">
        <v>0.3</v>
      </c>
      <c r="E11" s="3">
        <v>12</v>
      </c>
      <c r="F11" s="3">
        <v>28</v>
      </c>
      <c r="G11" s="3">
        <v>3</v>
      </c>
      <c r="H11" s="3">
        <v>1</v>
      </c>
      <c r="I11" s="3">
        <v>1</v>
      </c>
      <c r="J11" s="24" t="s">
        <v>57</v>
      </c>
    </row>
    <row r="12" spans="1:10" ht="15" thickBot="1" x14ac:dyDescent="0.4">
      <c r="A12" s="2">
        <v>45936</v>
      </c>
      <c r="B12" s="3">
        <v>4</v>
      </c>
      <c r="C12" s="3">
        <v>42</v>
      </c>
      <c r="D12" s="4">
        <v>9.5200000000000007E-2</v>
      </c>
      <c r="E12" s="3">
        <v>14</v>
      </c>
      <c r="F12" s="3">
        <v>28</v>
      </c>
      <c r="G12" s="3">
        <v>5</v>
      </c>
      <c r="H12" s="3">
        <v>2</v>
      </c>
      <c r="I12" s="3">
        <v>2</v>
      </c>
      <c r="J12" s="24" t="s">
        <v>58</v>
      </c>
    </row>
    <row r="13" spans="1:10" ht="15" thickBot="1" x14ac:dyDescent="0.4">
      <c r="A13" s="2">
        <v>45937</v>
      </c>
      <c r="B13" s="3">
        <v>4</v>
      </c>
      <c r="C13" s="3">
        <v>47</v>
      </c>
      <c r="D13" s="4">
        <v>8.5099999999999995E-2</v>
      </c>
      <c r="E13" s="3">
        <v>17</v>
      </c>
      <c r="F13" s="3">
        <v>30</v>
      </c>
      <c r="G13" s="3">
        <v>6</v>
      </c>
      <c r="H13" s="3">
        <v>3</v>
      </c>
      <c r="I13" s="3">
        <v>3</v>
      </c>
      <c r="J13" s="24" t="s">
        <v>57</v>
      </c>
    </row>
    <row r="14" spans="1:10" ht="15" thickBot="1" x14ac:dyDescent="0.4">
      <c r="A14" s="2">
        <v>45937</v>
      </c>
      <c r="B14" s="3">
        <v>4</v>
      </c>
      <c r="C14" s="3">
        <v>28</v>
      </c>
      <c r="D14" s="4">
        <v>0.1429</v>
      </c>
      <c r="E14" s="3">
        <v>12</v>
      </c>
      <c r="F14" s="3">
        <v>16</v>
      </c>
      <c r="G14" s="3">
        <v>2</v>
      </c>
      <c r="H14" s="3">
        <v>1</v>
      </c>
      <c r="I14" s="3">
        <v>2</v>
      </c>
      <c r="J14" s="24" t="s">
        <v>57</v>
      </c>
    </row>
    <row r="15" spans="1:10" ht="15" thickBot="1" x14ac:dyDescent="0.4">
      <c r="A15" s="2">
        <v>45938</v>
      </c>
      <c r="B15" s="3">
        <v>1</v>
      </c>
      <c r="C15" s="3">
        <v>49</v>
      </c>
      <c r="D15" s="4">
        <v>2.0400000000000001E-2</v>
      </c>
      <c r="E15" s="3">
        <v>17</v>
      </c>
      <c r="F15" s="3">
        <v>32</v>
      </c>
      <c r="G15" s="3">
        <v>3</v>
      </c>
      <c r="H15" s="3">
        <v>1</v>
      </c>
      <c r="I15" s="3">
        <v>2</v>
      </c>
      <c r="J15" s="24" t="s">
        <v>58</v>
      </c>
    </row>
    <row r="16" spans="1:10" ht="15" thickBot="1" x14ac:dyDescent="0.4">
      <c r="A16" s="2">
        <v>45939</v>
      </c>
      <c r="B16" s="3">
        <v>4</v>
      </c>
      <c r="C16" s="3">
        <v>41</v>
      </c>
      <c r="D16" s="4">
        <v>9.7600000000000006E-2</v>
      </c>
      <c r="E16" s="3">
        <v>15</v>
      </c>
      <c r="F16" s="3">
        <v>26</v>
      </c>
      <c r="G16" s="3">
        <v>10</v>
      </c>
      <c r="H16" s="3">
        <v>0</v>
      </c>
      <c r="I16" s="3">
        <v>3</v>
      </c>
      <c r="J16" s="24" t="s">
        <v>57</v>
      </c>
    </row>
    <row r="17" spans="1:10" ht="15" thickBot="1" x14ac:dyDescent="0.4">
      <c r="A17" s="2">
        <v>45939</v>
      </c>
      <c r="B17" s="3">
        <v>1</v>
      </c>
      <c r="C17" s="3">
        <v>29</v>
      </c>
      <c r="D17" s="4">
        <v>3.4500000000000003E-2</v>
      </c>
      <c r="E17" s="3">
        <v>13</v>
      </c>
      <c r="F17" s="3">
        <v>16</v>
      </c>
      <c r="G17" s="3">
        <v>6</v>
      </c>
      <c r="H17" s="3">
        <v>0</v>
      </c>
      <c r="I17" s="3">
        <v>3</v>
      </c>
      <c r="J17" s="24" t="s">
        <v>58</v>
      </c>
    </row>
    <row r="18" spans="1:10" ht="15" thickBot="1" x14ac:dyDescent="0.4">
      <c r="A18" s="2">
        <v>45940</v>
      </c>
      <c r="B18" s="3">
        <v>1</v>
      </c>
      <c r="C18" s="3">
        <v>34</v>
      </c>
      <c r="D18" s="4">
        <v>2.9399999999999999E-2</v>
      </c>
      <c r="E18" s="3">
        <v>11</v>
      </c>
      <c r="F18" s="3">
        <v>23</v>
      </c>
      <c r="G18" s="3">
        <v>1</v>
      </c>
      <c r="H18" s="3">
        <v>0</v>
      </c>
      <c r="I18" s="3">
        <v>2</v>
      </c>
      <c r="J18" s="24" t="s">
        <v>57</v>
      </c>
    </row>
    <row r="19" spans="1:10" ht="15" thickBot="1" x14ac:dyDescent="0.4">
      <c r="A19" s="2">
        <v>45940</v>
      </c>
      <c r="B19" s="3">
        <v>0</v>
      </c>
      <c r="C19" s="3">
        <v>22</v>
      </c>
      <c r="D19" s="4">
        <v>0</v>
      </c>
      <c r="E19" s="3">
        <v>4</v>
      </c>
      <c r="F19" s="3">
        <v>18</v>
      </c>
      <c r="G19" s="3">
        <v>0</v>
      </c>
      <c r="H19" s="3">
        <v>0</v>
      </c>
      <c r="I19" s="3">
        <v>1</v>
      </c>
      <c r="J19" s="24" t="s">
        <v>58</v>
      </c>
    </row>
    <row r="20" spans="1:10" ht="15" thickBot="1" x14ac:dyDescent="0.4">
      <c r="A20" s="2">
        <v>45941</v>
      </c>
      <c r="B20" s="3">
        <v>3</v>
      </c>
      <c r="C20" s="3">
        <v>45</v>
      </c>
      <c r="D20" s="4">
        <v>6.6699999999999995E-2</v>
      </c>
      <c r="E20" s="3">
        <v>12</v>
      </c>
      <c r="F20" s="3">
        <v>33</v>
      </c>
      <c r="G20" s="3">
        <v>3</v>
      </c>
      <c r="H20" s="3">
        <v>1</v>
      </c>
      <c r="I20" s="3">
        <v>2</v>
      </c>
      <c r="J20" s="24" t="s">
        <v>57</v>
      </c>
    </row>
    <row r="21" spans="1:10" ht="15" thickBot="1" x14ac:dyDescent="0.4">
      <c r="A21" s="2">
        <v>45942</v>
      </c>
      <c r="B21" s="3">
        <v>3</v>
      </c>
      <c r="C21" s="3">
        <v>32</v>
      </c>
      <c r="D21" s="4">
        <v>9.3799999999999994E-2</v>
      </c>
      <c r="E21" s="3">
        <v>9</v>
      </c>
      <c r="F21" s="3">
        <v>23</v>
      </c>
      <c r="G21" s="3">
        <v>2</v>
      </c>
      <c r="H21" s="3">
        <v>0</v>
      </c>
      <c r="I21" s="3">
        <v>2</v>
      </c>
      <c r="J21" s="24" t="s">
        <v>58</v>
      </c>
    </row>
    <row r="22" spans="1:10" ht="15" thickBot="1" x14ac:dyDescent="0.4">
      <c r="A22" s="2">
        <v>45942</v>
      </c>
      <c r="B22" s="3">
        <v>0</v>
      </c>
      <c r="C22" s="3">
        <v>39</v>
      </c>
      <c r="D22" s="4">
        <v>0</v>
      </c>
      <c r="E22" s="3">
        <v>12</v>
      </c>
      <c r="F22" s="3">
        <v>27</v>
      </c>
      <c r="G22" s="3">
        <v>1</v>
      </c>
      <c r="H22" s="3">
        <v>1</v>
      </c>
      <c r="I22" s="3">
        <v>2</v>
      </c>
      <c r="J22" s="24" t="s">
        <v>58</v>
      </c>
    </row>
    <row r="23" spans="1:10" ht="15" thickBot="1" x14ac:dyDescent="0.4">
      <c r="A23" s="2">
        <v>45943</v>
      </c>
      <c r="B23" s="3">
        <v>0</v>
      </c>
      <c r="C23" s="3">
        <v>33</v>
      </c>
      <c r="D23" s="4">
        <v>0</v>
      </c>
      <c r="E23" s="3">
        <v>13</v>
      </c>
      <c r="F23" s="3">
        <v>20</v>
      </c>
      <c r="G23" s="3">
        <v>0</v>
      </c>
      <c r="H23" s="3">
        <v>0</v>
      </c>
      <c r="I23" s="3">
        <v>2</v>
      </c>
      <c r="J23" s="24" t="s">
        <v>57</v>
      </c>
    </row>
    <row r="24" spans="1:10" ht="15" thickBot="1" x14ac:dyDescent="0.4">
      <c r="A24" s="2">
        <v>45943</v>
      </c>
      <c r="B24" s="3">
        <v>0</v>
      </c>
      <c r="C24" s="3">
        <v>22</v>
      </c>
      <c r="D24" s="4">
        <v>0</v>
      </c>
      <c r="E24" s="3">
        <v>12</v>
      </c>
      <c r="F24" s="3">
        <v>10</v>
      </c>
      <c r="G24" s="3">
        <v>1</v>
      </c>
      <c r="H24" s="3">
        <v>1</v>
      </c>
      <c r="I24" s="3">
        <v>2</v>
      </c>
      <c r="J24" s="24" t="s">
        <v>57</v>
      </c>
    </row>
    <row r="25" spans="1:10" ht="15" thickBot="1" x14ac:dyDescent="0.4">
      <c r="A25" s="2">
        <v>45944</v>
      </c>
      <c r="B25" s="3">
        <v>6</v>
      </c>
      <c r="C25" s="3">
        <v>38</v>
      </c>
      <c r="D25" s="4">
        <v>0.15790000000000001</v>
      </c>
      <c r="E25" s="3">
        <v>11</v>
      </c>
      <c r="F25" s="3">
        <v>27</v>
      </c>
      <c r="G25" s="3">
        <v>1</v>
      </c>
      <c r="H25" s="3">
        <v>2</v>
      </c>
      <c r="I25" s="3">
        <v>3</v>
      </c>
      <c r="J25" s="24" t="s">
        <v>58</v>
      </c>
    </row>
    <row r="26" spans="1:10" ht="15" thickBot="1" x14ac:dyDescent="0.4">
      <c r="A26" s="2">
        <v>45944</v>
      </c>
      <c r="B26" s="3">
        <v>13</v>
      </c>
      <c r="C26" s="3">
        <v>31</v>
      </c>
      <c r="D26" s="4">
        <v>0.4194</v>
      </c>
      <c r="E26" s="3">
        <v>9</v>
      </c>
      <c r="F26" s="3">
        <v>22</v>
      </c>
      <c r="G26" s="3">
        <v>1</v>
      </c>
      <c r="H26" s="3">
        <v>1</v>
      </c>
      <c r="I26" s="3">
        <v>1</v>
      </c>
      <c r="J26" s="24" t="s">
        <v>57</v>
      </c>
    </row>
    <row r="27" spans="1:10" ht="15" thickBot="1" x14ac:dyDescent="0.4">
      <c r="A27" s="2">
        <v>45945</v>
      </c>
      <c r="B27" s="3">
        <v>4</v>
      </c>
      <c r="C27" s="3">
        <v>15</v>
      </c>
      <c r="D27" s="4">
        <v>0.26669999999999999</v>
      </c>
      <c r="E27" s="3">
        <v>5</v>
      </c>
      <c r="F27" s="3">
        <v>10</v>
      </c>
      <c r="G27" s="3">
        <v>1</v>
      </c>
      <c r="H27" s="3">
        <v>0</v>
      </c>
      <c r="I27" s="3">
        <v>2</v>
      </c>
      <c r="J27" s="24" t="s">
        <v>57</v>
      </c>
    </row>
    <row r="28" spans="1:10" ht="15" thickBot="1" x14ac:dyDescent="0.4">
      <c r="A28" s="2">
        <v>45945</v>
      </c>
      <c r="B28" s="3">
        <v>1</v>
      </c>
      <c r="C28" s="3">
        <v>43</v>
      </c>
      <c r="D28" s="4">
        <v>2.3300000000000001E-2</v>
      </c>
      <c r="E28" s="3">
        <v>18</v>
      </c>
      <c r="F28" s="3">
        <v>25</v>
      </c>
      <c r="G28" s="3">
        <v>1</v>
      </c>
      <c r="H28" s="3">
        <v>0</v>
      </c>
      <c r="I28" s="3">
        <v>3</v>
      </c>
      <c r="J28" s="24" t="s">
        <v>58</v>
      </c>
    </row>
    <row r="29" spans="1:10" ht="15" thickBot="1" x14ac:dyDescent="0.4">
      <c r="A29" s="2">
        <v>45946</v>
      </c>
      <c r="B29" s="3">
        <v>1</v>
      </c>
      <c r="C29" s="3">
        <v>38</v>
      </c>
      <c r="D29" s="4">
        <v>2.63E-2</v>
      </c>
      <c r="E29" s="3">
        <v>15</v>
      </c>
      <c r="F29" s="3">
        <v>23</v>
      </c>
      <c r="G29" s="3">
        <v>2</v>
      </c>
      <c r="H29" s="3">
        <v>1</v>
      </c>
      <c r="I29" s="3">
        <v>2</v>
      </c>
      <c r="J29" s="24" t="s">
        <v>57</v>
      </c>
    </row>
    <row r="30" spans="1:10" ht="15" thickBot="1" x14ac:dyDescent="0.4">
      <c r="A30" s="2">
        <v>45947</v>
      </c>
      <c r="B30" s="3">
        <v>2</v>
      </c>
      <c r="C30" s="3">
        <v>39</v>
      </c>
      <c r="D30" s="4">
        <v>5.1299999999999998E-2</v>
      </c>
      <c r="E30" s="3">
        <v>11</v>
      </c>
      <c r="F30" s="3">
        <v>28</v>
      </c>
      <c r="G30" s="3">
        <v>1</v>
      </c>
      <c r="H30" s="3">
        <v>1</v>
      </c>
      <c r="I30" s="3">
        <v>3</v>
      </c>
      <c r="J30" s="24" t="s">
        <v>58</v>
      </c>
    </row>
    <row r="31" spans="1:10" ht="15" thickBot="1" x14ac:dyDescent="0.4">
      <c r="A31" s="2">
        <v>45948</v>
      </c>
      <c r="B31" s="3">
        <v>4</v>
      </c>
      <c r="C31" s="3">
        <v>44</v>
      </c>
      <c r="D31" s="4">
        <v>9.0899999999999995E-2</v>
      </c>
      <c r="E31" s="3">
        <v>12</v>
      </c>
      <c r="F31" s="3">
        <v>32</v>
      </c>
      <c r="G31" s="3">
        <v>1</v>
      </c>
      <c r="H31" s="3">
        <v>1</v>
      </c>
      <c r="I31" s="3">
        <v>3</v>
      </c>
      <c r="J31" s="24" t="s">
        <v>57</v>
      </c>
    </row>
    <row r="32" spans="1:10" ht="15" thickBot="1" x14ac:dyDescent="0.4">
      <c r="A32" s="2">
        <v>45948</v>
      </c>
      <c r="B32" s="3">
        <v>1</v>
      </c>
      <c r="C32" s="3">
        <v>30</v>
      </c>
      <c r="D32" s="4">
        <v>3.3300000000000003E-2</v>
      </c>
      <c r="E32" s="3">
        <v>11</v>
      </c>
      <c r="F32" s="3">
        <v>19</v>
      </c>
      <c r="G32" s="3">
        <v>1</v>
      </c>
      <c r="H32" s="3">
        <v>1</v>
      </c>
      <c r="I32" s="3">
        <v>2</v>
      </c>
      <c r="J32" s="24" t="s">
        <v>58</v>
      </c>
    </row>
    <row r="33" spans="1:10" ht="15" thickBot="1" x14ac:dyDescent="0.4">
      <c r="A33" s="2">
        <v>45949</v>
      </c>
      <c r="B33" s="3">
        <v>8</v>
      </c>
      <c r="C33" s="3">
        <v>39</v>
      </c>
      <c r="D33" s="4">
        <v>0.2051</v>
      </c>
      <c r="E33" s="3">
        <v>13</v>
      </c>
      <c r="F33" s="3">
        <v>26</v>
      </c>
      <c r="G33" s="3">
        <v>2</v>
      </c>
      <c r="H33" s="3">
        <v>4</v>
      </c>
      <c r="I33" s="3">
        <v>3</v>
      </c>
      <c r="J33" s="24" t="s">
        <v>57</v>
      </c>
    </row>
    <row r="34" spans="1:10" ht="15" thickBot="1" x14ac:dyDescent="0.4">
      <c r="A34" s="2">
        <v>45950</v>
      </c>
      <c r="B34" s="3">
        <v>0</v>
      </c>
      <c r="C34" s="3">
        <v>46</v>
      </c>
      <c r="D34" s="4">
        <v>0</v>
      </c>
      <c r="E34" s="3">
        <v>13</v>
      </c>
      <c r="F34" s="3">
        <v>33</v>
      </c>
      <c r="G34" s="3">
        <v>0</v>
      </c>
      <c r="H34" s="3">
        <v>0</v>
      </c>
      <c r="I34" s="3">
        <v>2</v>
      </c>
      <c r="J34" s="24" t="s">
        <v>58</v>
      </c>
    </row>
    <row r="35" spans="1:10" ht="15" thickBot="1" x14ac:dyDescent="0.4">
      <c r="A35" s="2">
        <v>45951</v>
      </c>
      <c r="B35" s="3">
        <v>3</v>
      </c>
      <c r="C35" s="3">
        <v>46</v>
      </c>
      <c r="D35" s="4">
        <v>6.5199999999999994E-2</v>
      </c>
      <c r="E35" s="3">
        <v>13</v>
      </c>
      <c r="F35" s="3">
        <v>33</v>
      </c>
      <c r="G35" s="3">
        <v>0</v>
      </c>
      <c r="H35" s="3">
        <v>2</v>
      </c>
      <c r="I35" s="3">
        <v>3</v>
      </c>
      <c r="J35" s="24" t="s">
        <v>58</v>
      </c>
    </row>
    <row r="36" spans="1:10" ht="15" thickBot="1" x14ac:dyDescent="0.4">
      <c r="A36" s="2">
        <v>45951</v>
      </c>
      <c r="B36" s="3">
        <v>0</v>
      </c>
      <c r="C36" s="3">
        <v>32</v>
      </c>
      <c r="D36" s="4">
        <v>0</v>
      </c>
      <c r="E36" s="3">
        <v>12</v>
      </c>
      <c r="F36" s="3">
        <v>20</v>
      </c>
      <c r="G36" s="3">
        <v>0</v>
      </c>
      <c r="H36" s="3">
        <v>3</v>
      </c>
      <c r="I36" s="3">
        <v>2</v>
      </c>
      <c r="J36" s="24" t="s">
        <v>57</v>
      </c>
    </row>
    <row r="37" spans="1:10" ht="15" thickBot="1" x14ac:dyDescent="0.4">
      <c r="A37" s="2">
        <v>45952</v>
      </c>
      <c r="B37" s="3">
        <v>1</v>
      </c>
      <c r="C37" s="3">
        <v>52</v>
      </c>
      <c r="D37" s="4">
        <v>1.9199999999999998E-2</v>
      </c>
      <c r="E37" s="3">
        <v>17</v>
      </c>
      <c r="F37" s="3">
        <v>35</v>
      </c>
      <c r="G37" s="3">
        <v>0</v>
      </c>
      <c r="H37" s="3">
        <v>1</v>
      </c>
      <c r="I37" s="3">
        <v>3</v>
      </c>
      <c r="J37" s="24" t="s">
        <v>57</v>
      </c>
    </row>
    <row r="38" spans="1:10" ht="15" thickBot="1" x14ac:dyDescent="0.4">
      <c r="A38" s="2">
        <v>45952</v>
      </c>
      <c r="B38" s="3">
        <v>0</v>
      </c>
      <c r="C38" s="3">
        <v>28</v>
      </c>
      <c r="D38" s="4">
        <v>0</v>
      </c>
      <c r="E38" s="3">
        <v>9</v>
      </c>
      <c r="F38" s="3">
        <v>19</v>
      </c>
      <c r="G38" s="3">
        <v>0</v>
      </c>
      <c r="H38" s="3">
        <v>1</v>
      </c>
      <c r="I38" s="3">
        <v>2</v>
      </c>
      <c r="J38" s="24" t="s">
        <v>58</v>
      </c>
    </row>
    <row r="39" spans="1:10" ht="15" thickBot="1" x14ac:dyDescent="0.4">
      <c r="A39" s="2">
        <v>45958</v>
      </c>
      <c r="B39" s="3">
        <v>1</v>
      </c>
      <c r="C39" s="3">
        <v>41</v>
      </c>
      <c r="D39" s="4">
        <v>2.4400000000000002E-2</v>
      </c>
      <c r="E39" s="3">
        <v>13</v>
      </c>
      <c r="F39" s="3">
        <v>28</v>
      </c>
      <c r="G39" s="3">
        <v>0</v>
      </c>
      <c r="H39" s="3">
        <v>0</v>
      </c>
      <c r="I39" s="3">
        <v>2</v>
      </c>
      <c r="J39" s="24" t="s">
        <v>57</v>
      </c>
    </row>
    <row r="40" spans="1:10" ht="15" thickBot="1" x14ac:dyDescent="0.4">
      <c r="A40" s="2">
        <v>45959</v>
      </c>
      <c r="B40" s="3">
        <v>0</v>
      </c>
      <c r="C40" s="3">
        <v>18</v>
      </c>
      <c r="D40" s="4">
        <v>0</v>
      </c>
      <c r="E40" s="3">
        <v>8</v>
      </c>
      <c r="F40" s="3">
        <v>10</v>
      </c>
      <c r="G40" s="3">
        <v>0</v>
      </c>
      <c r="H40" s="3">
        <v>0</v>
      </c>
      <c r="I40" s="3">
        <v>1</v>
      </c>
      <c r="J40" s="24" t="s">
        <v>58</v>
      </c>
    </row>
    <row r="41" spans="1:10" ht="15" thickBot="1" x14ac:dyDescent="0.4">
      <c r="A41" s="2">
        <v>45959</v>
      </c>
      <c r="B41" s="3">
        <v>11</v>
      </c>
      <c r="C41" s="3">
        <v>33</v>
      </c>
      <c r="D41" s="4">
        <v>0.33329999999999999</v>
      </c>
      <c r="E41" s="3">
        <v>10</v>
      </c>
      <c r="F41" s="3">
        <v>23</v>
      </c>
      <c r="G41" s="3">
        <v>0</v>
      </c>
      <c r="H41" s="3">
        <v>1</v>
      </c>
      <c r="I41" s="3">
        <v>3</v>
      </c>
      <c r="J41" s="24" t="s">
        <v>57</v>
      </c>
    </row>
    <row r="42" spans="1:10" ht="15" thickBot="1" x14ac:dyDescent="0.4">
      <c r="A42" s="2">
        <v>45959</v>
      </c>
      <c r="B42" s="3">
        <v>0</v>
      </c>
      <c r="C42" s="3">
        <v>30</v>
      </c>
      <c r="D42" s="4">
        <v>0</v>
      </c>
      <c r="E42" s="3">
        <v>13</v>
      </c>
      <c r="F42" s="3">
        <v>17</v>
      </c>
      <c r="G42" s="3">
        <v>0</v>
      </c>
      <c r="H42" s="3">
        <v>1</v>
      </c>
      <c r="I42" s="3">
        <v>2</v>
      </c>
      <c r="J42" s="24" t="s">
        <v>58</v>
      </c>
    </row>
    <row r="43" spans="1:10" ht="15" thickBot="1" x14ac:dyDescent="0.4">
      <c r="A43" s="2">
        <v>45960</v>
      </c>
      <c r="B43" s="3">
        <v>3</v>
      </c>
      <c r="C43" s="3">
        <v>42</v>
      </c>
      <c r="D43" s="4">
        <v>7.1400000000000005E-2</v>
      </c>
      <c r="E43" s="3">
        <v>16</v>
      </c>
      <c r="F43" s="3">
        <v>26</v>
      </c>
      <c r="G43" s="3">
        <v>0</v>
      </c>
      <c r="H43" s="3">
        <v>0</v>
      </c>
      <c r="I43" s="3">
        <v>3</v>
      </c>
      <c r="J43" s="24" t="s">
        <v>57</v>
      </c>
    </row>
    <row r="44" spans="1:10" ht="15" thickBot="1" x14ac:dyDescent="0.4">
      <c r="A44" s="2">
        <v>45960</v>
      </c>
      <c r="B44" s="3">
        <v>1</v>
      </c>
      <c r="C44" s="3">
        <v>38</v>
      </c>
      <c r="D44" s="4">
        <v>2.63E-2</v>
      </c>
      <c r="E44" s="3">
        <v>14</v>
      </c>
      <c r="F44" s="3">
        <v>24</v>
      </c>
      <c r="G44" s="3">
        <v>0</v>
      </c>
      <c r="H44" s="3">
        <v>4</v>
      </c>
      <c r="I44" s="3">
        <v>3</v>
      </c>
      <c r="J44" s="24" t="s">
        <v>58</v>
      </c>
    </row>
    <row r="45" spans="1:10" ht="15" thickBot="1" x14ac:dyDescent="0.4">
      <c r="A45" s="2">
        <v>45961</v>
      </c>
      <c r="B45" s="3">
        <v>1</v>
      </c>
      <c r="C45" s="3">
        <v>48</v>
      </c>
      <c r="D45" s="4">
        <v>2.0799999999999999E-2</v>
      </c>
      <c r="E45" s="3">
        <v>14</v>
      </c>
      <c r="F45" s="3">
        <v>34</v>
      </c>
      <c r="G45" s="3">
        <v>4</v>
      </c>
      <c r="H45" s="3">
        <v>4</v>
      </c>
      <c r="I45" s="3">
        <v>2</v>
      </c>
      <c r="J45" s="24" t="s">
        <v>57</v>
      </c>
    </row>
    <row r="46" spans="1:10" ht="15" thickBot="1" x14ac:dyDescent="0.4">
      <c r="A46" s="2">
        <v>45962</v>
      </c>
      <c r="B46" s="3">
        <v>9</v>
      </c>
      <c r="C46" s="3">
        <v>45</v>
      </c>
      <c r="D46" s="4">
        <v>0.2</v>
      </c>
      <c r="E46" s="3">
        <v>17</v>
      </c>
      <c r="F46" s="3">
        <v>28</v>
      </c>
      <c r="G46" s="3">
        <v>0</v>
      </c>
      <c r="H46" s="3">
        <v>0</v>
      </c>
      <c r="I46" s="3">
        <v>3</v>
      </c>
      <c r="J46" s="24" t="s">
        <v>57</v>
      </c>
    </row>
    <row r="47" spans="1:10" ht="15" thickBot="1" x14ac:dyDescent="0.4">
      <c r="A47" s="2">
        <v>45963</v>
      </c>
      <c r="B47" s="3">
        <v>0</v>
      </c>
      <c r="C47" s="3">
        <v>20</v>
      </c>
      <c r="D47" s="4">
        <v>0</v>
      </c>
      <c r="E47" s="3">
        <v>7</v>
      </c>
      <c r="F47" s="3">
        <v>13</v>
      </c>
      <c r="G47" s="3">
        <v>0</v>
      </c>
      <c r="H47" s="3">
        <v>0</v>
      </c>
      <c r="I47" s="3">
        <v>2</v>
      </c>
      <c r="J47" s="24" t="s">
        <v>58</v>
      </c>
    </row>
    <row r="48" spans="1:10" ht="15" thickBot="1" x14ac:dyDescent="0.4">
      <c r="A48" s="2">
        <v>45963</v>
      </c>
      <c r="B48" s="3">
        <v>1</v>
      </c>
      <c r="C48" s="3">
        <v>48</v>
      </c>
      <c r="D48" s="4">
        <v>2.0799999999999999E-2</v>
      </c>
      <c r="E48" s="3">
        <v>16</v>
      </c>
      <c r="F48" s="3">
        <v>32</v>
      </c>
      <c r="G48" s="3">
        <v>0</v>
      </c>
      <c r="H48" s="3">
        <v>0</v>
      </c>
      <c r="I48" s="3">
        <v>2</v>
      </c>
      <c r="J48" s="24" t="s">
        <v>57</v>
      </c>
    </row>
    <row r="49" spans="1:10" ht="15" thickBot="1" x14ac:dyDescent="0.4">
      <c r="A49" s="2">
        <v>45964</v>
      </c>
      <c r="B49" s="3">
        <v>4</v>
      </c>
      <c r="C49" s="3">
        <v>44</v>
      </c>
      <c r="D49" s="4">
        <v>9.0899999999999995E-2</v>
      </c>
      <c r="E49" s="3">
        <v>14</v>
      </c>
      <c r="F49" s="3">
        <v>30</v>
      </c>
      <c r="G49" s="3">
        <v>2</v>
      </c>
      <c r="H49" s="3">
        <v>1</v>
      </c>
      <c r="I49" s="3">
        <v>3</v>
      </c>
      <c r="J49" s="24" t="s">
        <v>58</v>
      </c>
    </row>
    <row r="50" spans="1:10" ht="15" thickBot="1" x14ac:dyDescent="0.4">
      <c r="A50" s="2">
        <v>45964</v>
      </c>
      <c r="B50" s="3">
        <v>0</v>
      </c>
      <c r="C50" s="3">
        <v>25</v>
      </c>
      <c r="D50" s="4">
        <v>0</v>
      </c>
      <c r="E50" s="3">
        <v>5</v>
      </c>
      <c r="F50" s="3">
        <v>20</v>
      </c>
      <c r="G50" s="3">
        <v>0</v>
      </c>
      <c r="H50" s="3">
        <v>0</v>
      </c>
      <c r="I50" s="3">
        <v>2</v>
      </c>
      <c r="J50" s="24" t="s">
        <v>57</v>
      </c>
    </row>
    <row r="51" spans="1:10" ht="15" thickBot="1" x14ac:dyDescent="0.4">
      <c r="A51" s="2">
        <v>45965</v>
      </c>
      <c r="B51" s="3">
        <v>2</v>
      </c>
      <c r="C51" s="3">
        <v>49</v>
      </c>
      <c r="D51" s="4">
        <v>4.0800000000000003E-2</v>
      </c>
      <c r="E51" s="3">
        <v>16</v>
      </c>
      <c r="F51" s="3">
        <v>33</v>
      </c>
      <c r="G51" s="3">
        <v>0</v>
      </c>
      <c r="H51" s="3">
        <v>1</v>
      </c>
      <c r="I51" s="3">
        <v>3</v>
      </c>
      <c r="J51" s="24" t="s">
        <v>57</v>
      </c>
    </row>
    <row r="52" spans="1:10" ht="15" thickBot="1" x14ac:dyDescent="0.4">
      <c r="A52" s="2">
        <v>45965</v>
      </c>
      <c r="B52" s="3">
        <v>2</v>
      </c>
      <c r="C52" s="3">
        <v>23</v>
      </c>
      <c r="D52" s="4">
        <v>8.6999999999999994E-2</v>
      </c>
      <c r="E52" s="3">
        <v>5</v>
      </c>
      <c r="F52" s="3">
        <v>18</v>
      </c>
      <c r="G52" s="3">
        <v>0</v>
      </c>
      <c r="H52" s="3">
        <v>0</v>
      </c>
      <c r="I52" s="3">
        <v>1</v>
      </c>
      <c r="J52" s="24" t="s">
        <v>57</v>
      </c>
    </row>
    <row r="53" spans="1:10" ht="15" thickBot="1" x14ac:dyDescent="0.4">
      <c r="A53" s="2">
        <v>45967</v>
      </c>
      <c r="B53" s="3">
        <v>1</v>
      </c>
      <c r="C53" s="3">
        <v>31</v>
      </c>
      <c r="D53" s="4">
        <v>3.2300000000000002E-2</v>
      </c>
      <c r="E53" s="3">
        <v>12</v>
      </c>
      <c r="F53" s="3">
        <v>19</v>
      </c>
      <c r="G53" s="3">
        <v>0</v>
      </c>
      <c r="H53" s="3">
        <v>0</v>
      </c>
      <c r="I53" s="3">
        <v>2</v>
      </c>
      <c r="J53" s="24" t="s">
        <v>58</v>
      </c>
    </row>
    <row r="54" spans="1:10" ht="15" thickBot="1" x14ac:dyDescent="0.4">
      <c r="A54" s="2">
        <v>45967</v>
      </c>
      <c r="B54" s="3">
        <v>1</v>
      </c>
      <c r="C54" s="3">
        <v>28</v>
      </c>
      <c r="D54" s="4">
        <v>3.5700000000000003E-2</v>
      </c>
      <c r="E54" s="3">
        <v>10</v>
      </c>
      <c r="F54" s="3">
        <v>18</v>
      </c>
      <c r="G54" s="3">
        <v>0</v>
      </c>
      <c r="H54" s="3">
        <v>0</v>
      </c>
      <c r="I54" s="3">
        <v>2</v>
      </c>
      <c r="J54" s="24" t="s">
        <v>57</v>
      </c>
    </row>
    <row r="55" spans="1:10" ht="15" thickBot="1" x14ac:dyDescent="0.4">
      <c r="A55" s="2">
        <v>45970</v>
      </c>
      <c r="B55" s="3">
        <v>11</v>
      </c>
      <c r="C55" s="3">
        <v>53</v>
      </c>
      <c r="D55" s="4">
        <v>0.20749999999999999</v>
      </c>
      <c r="E55" s="3">
        <v>11</v>
      </c>
      <c r="F55" s="3">
        <v>42</v>
      </c>
      <c r="G55" s="3">
        <v>0</v>
      </c>
      <c r="H55" s="3">
        <v>0</v>
      </c>
      <c r="I55" s="3">
        <v>3</v>
      </c>
      <c r="J55" s="24" t="s">
        <v>57</v>
      </c>
    </row>
    <row r="56" spans="1:10" ht="15" thickBot="1" x14ac:dyDescent="0.4">
      <c r="A56" s="2">
        <v>45972</v>
      </c>
      <c r="B56" s="3">
        <v>1</v>
      </c>
      <c r="C56" s="3">
        <v>44</v>
      </c>
      <c r="D56" s="4">
        <v>2.2700000000000001E-2</v>
      </c>
      <c r="E56" s="3">
        <v>19</v>
      </c>
      <c r="F56" s="3">
        <v>25</v>
      </c>
      <c r="G56" s="3">
        <v>4</v>
      </c>
      <c r="H56" s="3">
        <v>0</v>
      </c>
      <c r="I56" s="3">
        <v>2</v>
      </c>
      <c r="J56" s="24" t="s">
        <v>58</v>
      </c>
    </row>
    <row r="57" spans="1:10" ht="15" thickBot="1" x14ac:dyDescent="0.4">
      <c r="A57" s="2">
        <v>45973</v>
      </c>
      <c r="B57" s="3">
        <v>4</v>
      </c>
      <c r="C57" s="3">
        <v>37</v>
      </c>
      <c r="D57" s="4">
        <v>0.1081</v>
      </c>
      <c r="E57" s="3">
        <v>10</v>
      </c>
      <c r="F57" s="3">
        <v>27</v>
      </c>
      <c r="G57" s="3">
        <v>0</v>
      </c>
      <c r="H57" s="3">
        <v>0</v>
      </c>
      <c r="I57" s="3">
        <v>3</v>
      </c>
      <c r="J57" s="2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A9D1-CC23-4518-BB89-FD2AD2C548EE}">
  <dimension ref="B1:N57"/>
  <sheetViews>
    <sheetView topLeftCell="A39" workbookViewId="0">
      <selection activeCell="B2" sqref="B2:B57"/>
    </sheetView>
  </sheetViews>
  <sheetFormatPr defaultRowHeight="14.5" x14ac:dyDescent="0.35"/>
  <cols>
    <col min="2" max="2" width="13.81640625" customWidth="1"/>
    <col min="3" max="3" width="13.54296875" bestFit="1" customWidth="1"/>
    <col min="13" max="13" width="12.36328125" bestFit="1" customWidth="1"/>
    <col min="14" max="14" width="22.36328125" bestFit="1" customWidth="1"/>
  </cols>
  <sheetData>
    <row r="1" spans="2:14" ht="15" thickBot="1" x14ac:dyDescent="0.4">
      <c r="B1" s="25" t="s">
        <v>56</v>
      </c>
      <c r="C1" s="25" t="s">
        <v>3</v>
      </c>
    </row>
    <row r="2" spans="2:14" ht="15" thickBot="1" x14ac:dyDescent="0.4">
      <c r="B2" s="24" t="s">
        <v>57</v>
      </c>
      <c r="C2" s="9">
        <v>0.20449999999999999</v>
      </c>
    </row>
    <row r="3" spans="2:14" ht="15" thickBot="1" x14ac:dyDescent="0.4">
      <c r="B3" s="24" t="s">
        <v>58</v>
      </c>
      <c r="C3" s="9">
        <v>0.23080000000000001</v>
      </c>
    </row>
    <row r="4" spans="2:14" ht="15" thickBot="1" x14ac:dyDescent="0.4">
      <c r="B4" s="24" t="s">
        <v>58</v>
      </c>
      <c r="C4" s="9">
        <v>3.85E-2</v>
      </c>
    </row>
    <row r="5" spans="2:14" ht="58.5" thickBot="1" x14ac:dyDescent="0.4">
      <c r="B5" s="24" t="s">
        <v>58</v>
      </c>
      <c r="C5" s="9">
        <v>0.1026</v>
      </c>
      <c r="N5" s="26" t="s">
        <v>68</v>
      </c>
    </row>
    <row r="6" spans="2:14" ht="15" thickBot="1" x14ac:dyDescent="0.4">
      <c r="B6" s="24" t="s">
        <v>58</v>
      </c>
      <c r="C6" s="9">
        <v>7.4999999999999997E-2</v>
      </c>
    </row>
    <row r="7" spans="2:14" ht="15" thickBot="1" x14ac:dyDescent="0.4">
      <c r="B7" s="24" t="s">
        <v>57</v>
      </c>
      <c r="C7" s="9">
        <v>3.2300000000000002E-2</v>
      </c>
    </row>
    <row r="8" spans="2:14" ht="15" thickBot="1" x14ac:dyDescent="0.4">
      <c r="B8" s="24" t="s">
        <v>57</v>
      </c>
      <c r="C8" s="9">
        <v>2.3300000000000001E-2</v>
      </c>
    </row>
    <row r="9" spans="2:14" ht="15" thickBot="1" x14ac:dyDescent="0.4">
      <c r="B9" s="24" t="s">
        <v>57</v>
      </c>
      <c r="C9" s="9">
        <v>8.3299999999999999E-2</v>
      </c>
    </row>
    <row r="10" spans="2:14" ht="15" thickBot="1" x14ac:dyDescent="0.4">
      <c r="B10" s="24" t="s">
        <v>58</v>
      </c>
      <c r="C10" s="9">
        <v>0.04</v>
      </c>
    </row>
    <row r="11" spans="2:14" ht="15" thickBot="1" x14ac:dyDescent="0.4">
      <c r="B11" s="24" t="s">
        <v>57</v>
      </c>
      <c r="C11" s="9">
        <v>0.3</v>
      </c>
    </row>
    <row r="12" spans="2:14" ht="15" thickBot="1" x14ac:dyDescent="0.4">
      <c r="B12" s="24" t="s">
        <v>58</v>
      </c>
      <c r="C12" s="9">
        <v>9.5200000000000007E-2</v>
      </c>
    </row>
    <row r="13" spans="2:14" ht="15" thickBot="1" x14ac:dyDescent="0.4">
      <c r="B13" s="24" t="s">
        <v>57</v>
      </c>
      <c r="C13" s="9">
        <v>8.5099999999999995E-2</v>
      </c>
    </row>
    <row r="14" spans="2:14" ht="15" thickBot="1" x14ac:dyDescent="0.4">
      <c r="B14" s="24" t="s">
        <v>57</v>
      </c>
      <c r="C14" s="9">
        <v>0.1429</v>
      </c>
    </row>
    <row r="15" spans="2:14" ht="15" thickBot="1" x14ac:dyDescent="0.4">
      <c r="B15" s="24" t="s">
        <v>58</v>
      </c>
      <c r="C15" s="9">
        <v>2.0400000000000001E-2</v>
      </c>
    </row>
    <row r="16" spans="2:14" ht="15" thickBot="1" x14ac:dyDescent="0.4">
      <c r="B16" s="24" t="s">
        <v>57</v>
      </c>
      <c r="C16" s="9">
        <v>9.7600000000000006E-2</v>
      </c>
    </row>
    <row r="17" spans="2:3" ht="15" thickBot="1" x14ac:dyDescent="0.4">
      <c r="B17" s="24" t="s">
        <v>58</v>
      </c>
      <c r="C17" s="9">
        <v>3.4500000000000003E-2</v>
      </c>
    </row>
    <row r="18" spans="2:3" ht="15" thickBot="1" x14ac:dyDescent="0.4">
      <c r="B18" s="24" t="s">
        <v>57</v>
      </c>
      <c r="C18" s="9">
        <v>2.9399999999999999E-2</v>
      </c>
    </row>
    <row r="19" spans="2:3" ht="15" thickBot="1" x14ac:dyDescent="0.4">
      <c r="B19" s="24" t="s">
        <v>58</v>
      </c>
      <c r="C19" s="9">
        <v>0</v>
      </c>
    </row>
    <row r="20" spans="2:3" ht="15" thickBot="1" x14ac:dyDescent="0.4">
      <c r="B20" s="24" t="s">
        <v>57</v>
      </c>
      <c r="C20" s="9">
        <v>6.6699999999999995E-2</v>
      </c>
    </row>
    <row r="21" spans="2:3" ht="15" thickBot="1" x14ac:dyDescent="0.4">
      <c r="B21" s="24" t="s">
        <v>58</v>
      </c>
      <c r="C21" s="9">
        <v>9.3799999999999994E-2</v>
      </c>
    </row>
    <row r="22" spans="2:3" ht="15" thickBot="1" x14ac:dyDescent="0.4">
      <c r="B22" s="24" t="s">
        <v>58</v>
      </c>
      <c r="C22" s="9">
        <v>0</v>
      </c>
    </row>
    <row r="23" spans="2:3" ht="15" thickBot="1" x14ac:dyDescent="0.4">
      <c r="B23" s="24" t="s">
        <v>57</v>
      </c>
      <c r="C23" s="9">
        <v>0</v>
      </c>
    </row>
    <row r="24" spans="2:3" ht="15" thickBot="1" x14ac:dyDescent="0.4">
      <c r="B24" s="24" t="s">
        <v>57</v>
      </c>
      <c r="C24" s="9">
        <v>0</v>
      </c>
    </row>
    <row r="25" spans="2:3" ht="15" thickBot="1" x14ac:dyDescent="0.4">
      <c r="B25" s="24" t="s">
        <v>58</v>
      </c>
      <c r="C25" s="9">
        <v>0.15790000000000001</v>
      </c>
    </row>
    <row r="26" spans="2:3" ht="15" thickBot="1" x14ac:dyDescent="0.4">
      <c r="B26" s="24" t="s">
        <v>57</v>
      </c>
      <c r="C26" s="9">
        <v>0.4194</v>
      </c>
    </row>
    <row r="27" spans="2:3" ht="15" thickBot="1" x14ac:dyDescent="0.4">
      <c r="B27" s="24" t="s">
        <v>57</v>
      </c>
      <c r="C27" s="9">
        <v>0.26669999999999999</v>
      </c>
    </row>
    <row r="28" spans="2:3" ht="15" thickBot="1" x14ac:dyDescent="0.4">
      <c r="B28" s="24" t="s">
        <v>58</v>
      </c>
      <c r="C28" s="9">
        <v>2.3300000000000001E-2</v>
      </c>
    </row>
    <row r="29" spans="2:3" ht="15" thickBot="1" x14ac:dyDescent="0.4">
      <c r="B29" s="24" t="s">
        <v>57</v>
      </c>
      <c r="C29" s="9">
        <v>2.63E-2</v>
      </c>
    </row>
    <row r="30" spans="2:3" ht="15" thickBot="1" x14ac:dyDescent="0.4">
      <c r="B30" s="24" t="s">
        <v>58</v>
      </c>
      <c r="C30" s="9">
        <v>5.1299999999999998E-2</v>
      </c>
    </row>
    <row r="31" spans="2:3" ht="15" thickBot="1" x14ac:dyDescent="0.4">
      <c r="B31" s="24" t="s">
        <v>57</v>
      </c>
      <c r="C31" s="9">
        <v>9.0899999999999995E-2</v>
      </c>
    </row>
    <row r="32" spans="2:3" ht="15" thickBot="1" x14ac:dyDescent="0.4">
      <c r="B32" s="24" t="s">
        <v>58</v>
      </c>
      <c r="C32" s="9">
        <v>3.3300000000000003E-2</v>
      </c>
    </row>
    <row r="33" spans="2:3" ht="15" thickBot="1" x14ac:dyDescent="0.4">
      <c r="B33" s="24" t="s">
        <v>57</v>
      </c>
      <c r="C33" s="9">
        <v>0.2051</v>
      </c>
    </row>
    <row r="34" spans="2:3" ht="15" thickBot="1" x14ac:dyDescent="0.4">
      <c r="B34" s="24" t="s">
        <v>58</v>
      </c>
      <c r="C34" s="9">
        <v>0</v>
      </c>
    </row>
    <row r="35" spans="2:3" ht="15" thickBot="1" x14ac:dyDescent="0.4">
      <c r="B35" s="24" t="s">
        <v>58</v>
      </c>
      <c r="C35" s="9">
        <v>6.5199999999999994E-2</v>
      </c>
    </row>
    <row r="36" spans="2:3" ht="15" thickBot="1" x14ac:dyDescent="0.4">
      <c r="B36" s="24" t="s">
        <v>57</v>
      </c>
      <c r="C36" s="9">
        <v>0</v>
      </c>
    </row>
    <row r="37" spans="2:3" ht="15" thickBot="1" x14ac:dyDescent="0.4">
      <c r="B37" s="24" t="s">
        <v>57</v>
      </c>
      <c r="C37" s="9">
        <v>1.9199999999999998E-2</v>
      </c>
    </row>
    <row r="38" spans="2:3" ht="15" thickBot="1" x14ac:dyDescent="0.4">
      <c r="B38" s="24" t="s">
        <v>58</v>
      </c>
      <c r="C38" s="9">
        <v>0</v>
      </c>
    </row>
    <row r="39" spans="2:3" ht="15" thickBot="1" x14ac:dyDescent="0.4">
      <c r="B39" s="24" t="s">
        <v>57</v>
      </c>
      <c r="C39" s="9">
        <v>2.4400000000000002E-2</v>
      </c>
    </row>
    <row r="40" spans="2:3" ht="15" thickBot="1" x14ac:dyDescent="0.4">
      <c r="B40" s="24" t="s">
        <v>58</v>
      </c>
      <c r="C40" s="9">
        <v>0</v>
      </c>
    </row>
    <row r="41" spans="2:3" ht="15" thickBot="1" x14ac:dyDescent="0.4">
      <c r="B41" s="24" t="s">
        <v>57</v>
      </c>
      <c r="C41" s="9">
        <v>0.33329999999999999</v>
      </c>
    </row>
    <row r="42" spans="2:3" ht="15" thickBot="1" x14ac:dyDescent="0.4">
      <c r="B42" s="24" t="s">
        <v>58</v>
      </c>
      <c r="C42" s="9">
        <v>0</v>
      </c>
    </row>
    <row r="43" spans="2:3" ht="15" thickBot="1" x14ac:dyDescent="0.4">
      <c r="B43" s="24" t="s">
        <v>57</v>
      </c>
      <c r="C43" s="9">
        <v>7.1400000000000005E-2</v>
      </c>
    </row>
    <row r="44" spans="2:3" ht="15" thickBot="1" x14ac:dyDescent="0.4">
      <c r="B44" s="24" t="s">
        <v>58</v>
      </c>
      <c r="C44" s="9">
        <v>2.63E-2</v>
      </c>
    </row>
    <row r="45" spans="2:3" ht="15" thickBot="1" x14ac:dyDescent="0.4">
      <c r="B45" s="24" t="s">
        <v>57</v>
      </c>
      <c r="C45" s="9">
        <v>2.0799999999999999E-2</v>
      </c>
    </row>
    <row r="46" spans="2:3" ht="15" thickBot="1" x14ac:dyDescent="0.4">
      <c r="B46" s="24" t="s">
        <v>57</v>
      </c>
      <c r="C46" s="9">
        <v>0.2</v>
      </c>
    </row>
    <row r="47" spans="2:3" ht="15" thickBot="1" x14ac:dyDescent="0.4">
      <c r="B47" s="24" t="s">
        <v>58</v>
      </c>
      <c r="C47" s="9">
        <v>0</v>
      </c>
    </row>
    <row r="48" spans="2:3" ht="15" thickBot="1" x14ac:dyDescent="0.4">
      <c r="B48" s="24" t="s">
        <v>57</v>
      </c>
      <c r="C48" s="9">
        <v>2.0799999999999999E-2</v>
      </c>
    </row>
    <row r="49" spans="2:3" ht="15" thickBot="1" x14ac:dyDescent="0.4">
      <c r="B49" s="24" t="s">
        <v>58</v>
      </c>
      <c r="C49" s="9">
        <v>9.0899999999999995E-2</v>
      </c>
    </row>
    <row r="50" spans="2:3" ht="15" thickBot="1" x14ac:dyDescent="0.4">
      <c r="B50" s="24" t="s">
        <v>57</v>
      </c>
      <c r="C50" s="9">
        <v>0</v>
      </c>
    </row>
    <row r="51" spans="2:3" ht="15" thickBot="1" x14ac:dyDescent="0.4">
      <c r="B51" s="24" t="s">
        <v>57</v>
      </c>
      <c r="C51" s="9">
        <v>4.0800000000000003E-2</v>
      </c>
    </row>
    <row r="52" spans="2:3" ht="15" thickBot="1" x14ac:dyDescent="0.4">
      <c r="B52" s="24" t="s">
        <v>57</v>
      </c>
      <c r="C52" s="9">
        <v>8.6999999999999994E-2</v>
      </c>
    </row>
    <row r="53" spans="2:3" ht="15" thickBot="1" x14ac:dyDescent="0.4">
      <c r="B53" s="24" t="s">
        <v>58</v>
      </c>
      <c r="C53" s="9">
        <v>3.2300000000000002E-2</v>
      </c>
    </row>
    <row r="54" spans="2:3" ht="15" thickBot="1" x14ac:dyDescent="0.4">
      <c r="B54" s="24" t="s">
        <v>57</v>
      </c>
      <c r="C54" s="9">
        <v>3.5700000000000003E-2</v>
      </c>
    </row>
    <row r="55" spans="2:3" ht="15" thickBot="1" x14ac:dyDescent="0.4">
      <c r="B55" s="24" t="s">
        <v>57</v>
      </c>
      <c r="C55" s="9">
        <v>0.20749999999999999</v>
      </c>
    </row>
    <row r="56" spans="2:3" ht="15" thickBot="1" x14ac:dyDescent="0.4">
      <c r="B56" s="24" t="s">
        <v>58</v>
      </c>
      <c r="C56" s="9">
        <v>2.2700000000000001E-2</v>
      </c>
    </row>
    <row r="57" spans="2:3" ht="15" thickBot="1" x14ac:dyDescent="0.4">
      <c r="B57" s="24" t="s">
        <v>58</v>
      </c>
      <c r="C57" s="9">
        <v>0.1081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A996-F968-433B-88D6-5074B258261B}">
  <dimension ref="A1:S90"/>
  <sheetViews>
    <sheetView workbookViewId="0">
      <selection activeCell="C2" sqref="C2"/>
    </sheetView>
  </sheetViews>
  <sheetFormatPr defaultRowHeight="14.5" x14ac:dyDescent="0.35"/>
  <cols>
    <col min="1" max="1" width="17" bestFit="1" customWidth="1"/>
    <col min="7" max="7" width="8.36328125" bestFit="1" customWidth="1"/>
    <col min="11" max="11" width="28.54296875" customWidth="1"/>
    <col min="12" max="12" width="21.6328125" bestFit="1" customWidth="1"/>
    <col min="15" max="15" width="11.81640625" bestFit="1" customWidth="1"/>
  </cols>
  <sheetData>
    <row r="1" spans="1:16" ht="15" thickBot="1" x14ac:dyDescent="0.4">
      <c r="A1" t="s">
        <v>69</v>
      </c>
    </row>
    <row r="2" spans="1:16" ht="91.5" thickBot="1" x14ac:dyDescent="0.4">
      <c r="A2" s="25" t="s">
        <v>2</v>
      </c>
      <c r="B2" s="25" t="s">
        <v>51</v>
      </c>
      <c r="C2" s="25" t="s">
        <v>52</v>
      </c>
      <c r="D2" s="25" t="s">
        <v>53</v>
      </c>
      <c r="E2" s="25" t="s">
        <v>54</v>
      </c>
      <c r="F2" s="25" t="s">
        <v>55</v>
      </c>
      <c r="G2" s="29" t="s">
        <v>70</v>
      </c>
      <c r="H2" s="25" t="s">
        <v>3</v>
      </c>
    </row>
    <row r="3" spans="1:16" ht="15" thickBot="1" x14ac:dyDescent="0.4">
      <c r="A3" s="3">
        <v>44</v>
      </c>
      <c r="B3" s="3">
        <v>13</v>
      </c>
      <c r="C3" s="3">
        <v>31</v>
      </c>
      <c r="D3" s="3">
        <v>2</v>
      </c>
      <c r="E3" s="3">
        <v>2</v>
      </c>
      <c r="F3" s="3">
        <v>2</v>
      </c>
      <c r="G3">
        <v>1</v>
      </c>
      <c r="H3" s="9">
        <v>0.20449999999999999</v>
      </c>
    </row>
    <row r="4" spans="1:16" ht="15" thickBot="1" x14ac:dyDescent="0.4">
      <c r="A4" s="3">
        <v>39</v>
      </c>
      <c r="B4" s="3">
        <v>9</v>
      </c>
      <c r="C4" s="3">
        <v>30</v>
      </c>
      <c r="D4" s="3">
        <v>1</v>
      </c>
      <c r="E4" s="3">
        <v>3</v>
      </c>
      <c r="F4" s="3">
        <v>2</v>
      </c>
      <c r="G4">
        <v>0</v>
      </c>
      <c r="H4" s="9">
        <v>0.23080000000000001</v>
      </c>
    </row>
    <row r="5" spans="1:16" ht="15" thickBot="1" x14ac:dyDescent="0.4">
      <c r="A5" s="3">
        <v>26</v>
      </c>
      <c r="B5" s="3">
        <v>10</v>
      </c>
      <c r="C5" s="3">
        <v>16</v>
      </c>
      <c r="D5" s="3">
        <v>1</v>
      </c>
      <c r="E5" s="3">
        <v>2</v>
      </c>
      <c r="F5" s="3">
        <v>1</v>
      </c>
      <c r="G5">
        <v>0</v>
      </c>
      <c r="H5" s="9">
        <v>3.85E-2</v>
      </c>
      <c r="K5" t="s">
        <v>71</v>
      </c>
    </row>
    <row r="6" spans="1:16" ht="15" thickBot="1" x14ac:dyDescent="0.4">
      <c r="A6" s="3">
        <v>39</v>
      </c>
      <c r="B6" s="3">
        <v>14</v>
      </c>
      <c r="C6" s="3">
        <v>25</v>
      </c>
      <c r="D6" s="3">
        <v>2</v>
      </c>
      <c r="E6" s="3">
        <v>3</v>
      </c>
      <c r="F6" s="3">
        <v>3</v>
      </c>
      <c r="G6">
        <v>0</v>
      </c>
      <c r="H6" s="9">
        <v>0.1026</v>
      </c>
    </row>
    <row r="7" spans="1:16" ht="15" thickBot="1" x14ac:dyDescent="0.4">
      <c r="A7" s="3">
        <v>40</v>
      </c>
      <c r="B7" s="3">
        <v>15</v>
      </c>
      <c r="C7" s="3">
        <v>25</v>
      </c>
      <c r="D7" s="3">
        <v>3</v>
      </c>
      <c r="E7" s="3">
        <v>5</v>
      </c>
      <c r="F7" s="3">
        <v>3</v>
      </c>
      <c r="G7">
        <v>0</v>
      </c>
      <c r="H7" s="9">
        <v>7.4999999999999997E-2</v>
      </c>
      <c r="K7" s="5" t="s">
        <v>72</v>
      </c>
      <c r="L7" s="5"/>
    </row>
    <row r="8" spans="1:16" ht="15" thickBot="1" x14ac:dyDescent="0.4">
      <c r="A8" s="3">
        <v>31</v>
      </c>
      <c r="B8" s="3">
        <v>15</v>
      </c>
      <c r="C8" s="3">
        <v>24</v>
      </c>
      <c r="D8" s="3">
        <v>4</v>
      </c>
      <c r="E8" s="3">
        <v>1</v>
      </c>
      <c r="F8" s="3">
        <v>2</v>
      </c>
      <c r="G8">
        <v>1</v>
      </c>
      <c r="H8" s="9">
        <v>3.2300000000000002E-2</v>
      </c>
      <c r="K8" t="s">
        <v>73</v>
      </c>
      <c r="L8">
        <v>0.47355040988457586</v>
      </c>
    </row>
    <row r="9" spans="1:16" ht="15" thickBot="1" x14ac:dyDescent="0.4">
      <c r="A9" s="3">
        <v>43</v>
      </c>
      <c r="B9" s="3">
        <v>18</v>
      </c>
      <c r="C9" s="3">
        <v>25</v>
      </c>
      <c r="D9" s="3">
        <v>5</v>
      </c>
      <c r="E9" s="3">
        <v>7</v>
      </c>
      <c r="F9" s="3">
        <v>1</v>
      </c>
      <c r="G9">
        <v>1</v>
      </c>
      <c r="H9" s="9">
        <v>2.3300000000000001E-2</v>
      </c>
      <c r="K9" t="s">
        <v>74</v>
      </c>
      <c r="L9">
        <v>0.22424999070184981</v>
      </c>
    </row>
    <row r="10" spans="1:16" ht="15" thickBot="1" x14ac:dyDescent="0.4">
      <c r="A10" s="3">
        <v>48</v>
      </c>
      <c r="B10" s="3">
        <v>20</v>
      </c>
      <c r="C10" s="3">
        <v>28</v>
      </c>
      <c r="D10" s="3">
        <v>4</v>
      </c>
      <c r="E10" s="3">
        <v>6</v>
      </c>
      <c r="F10" s="3">
        <v>3</v>
      </c>
      <c r="G10">
        <v>1</v>
      </c>
      <c r="H10" s="9">
        <v>8.3299999999999999E-2</v>
      </c>
      <c r="K10" t="s">
        <v>75</v>
      </c>
      <c r="L10">
        <v>0.11111978101253624</v>
      </c>
    </row>
    <row r="11" spans="1:16" ht="15" thickBot="1" x14ac:dyDescent="0.4">
      <c r="A11" s="3">
        <v>25</v>
      </c>
      <c r="B11" s="3">
        <v>9</v>
      </c>
      <c r="C11" s="3">
        <v>16</v>
      </c>
      <c r="D11" s="3">
        <v>3</v>
      </c>
      <c r="E11" s="3">
        <v>4</v>
      </c>
      <c r="F11" s="3">
        <v>2</v>
      </c>
      <c r="G11">
        <v>0</v>
      </c>
      <c r="H11" s="9">
        <v>0.04</v>
      </c>
      <c r="K11" t="s">
        <v>6</v>
      </c>
      <c r="L11">
        <v>8.8284594661289933E-2</v>
      </c>
    </row>
    <row r="12" spans="1:16" ht="15" thickBot="1" x14ac:dyDescent="0.4">
      <c r="A12" s="3">
        <v>40</v>
      </c>
      <c r="B12" s="3">
        <v>12</v>
      </c>
      <c r="C12" s="3">
        <v>28</v>
      </c>
      <c r="D12" s="3">
        <v>3</v>
      </c>
      <c r="E12" s="3">
        <v>1</v>
      </c>
      <c r="F12" s="3">
        <v>1</v>
      </c>
      <c r="G12">
        <v>1</v>
      </c>
      <c r="H12" s="9">
        <v>0.3</v>
      </c>
      <c r="K12" s="30" t="s">
        <v>76</v>
      </c>
      <c r="L12" s="30">
        <v>56</v>
      </c>
    </row>
    <row r="13" spans="1:16" ht="15" thickBot="1" x14ac:dyDescent="0.4">
      <c r="A13" s="3">
        <v>42</v>
      </c>
      <c r="B13" s="3">
        <v>14</v>
      </c>
      <c r="C13" s="3">
        <v>28</v>
      </c>
      <c r="D13" s="3">
        <v>5</v>
      </c>
      <c r="E13" s="3">
        <v>2</v>
      </c>
      <c r="F13" s="3">
        <v>2</v>
      </c>
      <c r="G13">
        <v>0</v>
      </c>
      <c r="H13" s="9">
        <v>9.5200000000000007E-2</v>
      </c>
    </row>
    <row r="14" spans="1:16" ht="15" thickBot="1" x14ac:dyDescent="0.4">
      <c r="A14" s="3">
        <v>47</v>
      </c>
      <c r="B14" s="3">
        <v>17</v>
      </c>
      <c r="C14" s="3">
        <v>30</v>
      </c>
      <c r="D14" s="3">
        <v>6</v>
      </c>
      <c r="E14" s="3">
        <v>3</v>
      </c>
      <c r="F14" s="3">
        <v>3</v>
      </c>
      <c r="G14">
        <v>1</v>
      </c>
      <c r="H14" s="9">
        <v>8.5099999999999995E-2</v>
      </c>
      <c r="K14" t="s">
        <v>77</v>
      </c>
    </row>
    <row r="15" spans="1:16" ht="15" thickBot="1" x14ac:dyDescent="0.4">
      <c r="A15" s="3">
        <v>28</v>
      </c>
      <c r="B15" s="3">
        <v>12</v>
      </c>
      <c r="C15" s="3">
        <v>16</v>
      </c>
      <c r="D15" s="3">
        <v>2</v>
      </c>
      <c r="E15" s="3">
        <v>1</v>
      </c>
      <c r="F15" s="3">
        <v>2</v>
      </c>
      <c r="G15">
        <v>1</v>
      </c>
      <c r="H15" s="9">
        <v>0.1429</v>
      </c>
      <c r="K15" s="31"/>
      <c r="L15" s="31" t="s">
        <v>82</v>
      </c>
      <c r="M15" s="31" t="s">
        <v>83</v>
      </c>
      <c r="N15" s="31" t="s">
        <v>84</v>
      </c>
      <c r="O15" s="31" t="s">
        <v>85</v>
      </c>
      <c r="P15" s="31" t="s">
        <v>86</v>
      </c>
    </row>
    <row r="16" spans="1:16" ht="15" thickBot="1" x14ac:dyDescent="0.4">
      <c r="A16" s="3">
        <v>49</v>
      </c>
      <c r="B16" s="3">
        <v>17</v>
      </c>
      <c r="C16" s="3">
        <v>32</v>
      </c>
      <c r="D16" s="3">
        <v>3</v>
      </c>
      <c r="E16" s="3">
        <v>1</v>
      </c>
      <c r="F16" s="3">
        <v>2</v>
      </c>
      <c r="G16">
        <v>0</v>
      </c>
      <c r="H16" s="9">
        <v>2.0400000000000001E-2</v>
      </c>
      <c r="K16" t="s">
        <v>78</v>
      </c>
      <c r="L16">
        <v>7</v>
      </c>
      <c r="M16">
        <v>0.10814880783360337</v>
      </c>
      <c r="N16">
        <v>1.5449829690514767E-2</v>
      </c>
      <c r="O16">
        <v>1.9822290731865653</v>
      </c>
      <c r="P16">
        <v>7.7124686002970774E-2</v>
      </c>
    </row>
    <row r="17" spans="1:19" ht="15" thickBot="1" x14ac:dyDescent="0.4">
      <c r="A17" s="3">
        <v>41</v>
      </c>
      <c r="B17" s="3">
        <v>15</v>
      </c>
      <c r="C17" s="3">
        <v>26</v>
      </c>
      <c r="D17" s="3">
        <v>10</v>
      </c>
      <c r="E17" s="3">
        <v>0</v>
      </c>
      <c r="F17" s="3">
        <v>3</v>
      </c>
      <c r="G17">
        <v>1</v>
      </c>
      <c r="H17" s="9">
        <v>9.7600000000000006E-2</v>
      </c>
      <c r="K17" t="s">
        <v>79</v>
      </c>
      <c r="L17">
        <v>48</v>
      </c>
      <c r="M17">
        <v>0.37412014341639666</v>
      </c>
      <c r="N17">
        <v>7.7941696545082637E-3</v>
      </c>
    </row>
    <row r="18" spans="1:19" ht="15" thickBot="1" x14ac:dyDescent="0.4">
      <c r="A18" s="3">
        <v>29</v>
      </c>
      <c r="B18" s="3">
        <v>13</v>
      </c>
      <c r="C18" s="3">
        <v>16</v>
      </c>
      <c r="D18" s="3">
        <v>6</v>
      </c>
      <c r="E18" s="3">
        <v>0</v>
      </c>
      <c r="F18" s="3">
        <v>3</v>
      </c>
      <c r="G18">
        <v>0</v>
      </c>
      <c r="H18" s="9">
        <v>3.4500000000000003E-2</v>
      </c>
      <c r="K18" s="30" t="s">
        <v>80</v>
      </c>
      <c r="L18" s="30">
        <v>55</v>
      </c>
      <c r="M18" s="30">
        <v>0.48226895125000002</v>
      </c>
      <c r="N18" s="30"/>
      <c r="O18" s="30"/>
      <c r="P18" s="30"/>
    </row>
    <row r="19" spans="1:19" ht="15" thickBot="1" x14ac:dyDescent="0.4">
      <c r="A19" s="3">
        <v>34</v>
      </c>
      <c r="B19" s="3">
        <v>11</v>
      </c>
      <c r="C19" s="3">
        <v>23</v>
      </c>
      <c r="D19" s="3">
        <v>1</v>
      </c>
      <c r="E19" s="3">
        <v>0</v>
      </c>
      <c r="F19" s="3">
        <v>2</v>
      </c>
      <c r="G19">
        <v>1</v>
      </c>
      <c r="H19" s="9">
        <v>2.9399999999999999E-2</v>
      </c>
    </row>
    <row r="20" spans="1:19" ht="15" thickBot="1" x14ac:dyDescent="0.4">
      <c r="A20" s="3">
        <v>22</v>
      </c>
      <c r="B20" s="3">
        <v>4</v>
      </c>
      <c r="C20" s="3">
        <v>18</v>
      </c>
      <c r="D20" s="3">
        <v>0</v>
      </c>
      <c r="E20" s="3">
        <v>0</v>
      </c>
      <c r="F20" s="3">
        <v>1</v>
      </c>
      <c r="G20">
        <v>0</v>
      </c>
      <c r="H20" s="9">
        <v>0</v>
      </c>
      <c r="K20" s="31"/>
      <c r="L20" s="31" t="s">
        <v>87</v>
      </c>
      <c r="M20" s="31" t="s">
        <v>6</v>
      </c>
      <c r="N20" s="31" t="s">
        <v>88</v>
      </c>
      <c r="O20" s="31" t="s">
        <v>89</v>
      </c>
      <c r="P20" s="31" t="s">
        <v>90</v>
      </c>
      <c r="Q20" s="31" t="s">
        <v>91</v>
      </c>
      <c r="R20" s="31" t="s">
        <v>92</v>
      </c>
      <c r="S20" s="31" t="s">
        <v>93</v>
      </c>
    </row>
    <row r="21" spans="1:19" ht="15" thickBot="1" x14ac:dyDescent="0.4">
      <c r="A21" s="3">
        <v>45</v>
      </c>
      <c r="B21" s="3">
        <v>12</v>
      </c>
      <c r="C21" s="3">
        <v>33</v>
      </c>
      <c r="D21" s="3">
        <v>3</v>
      </c>
      <c r="E21" s="3">
        <v>1</v>
      </c>
      <c r="F21" s="3">
        <v>2</v>
      </c>
      <c r="G21">
        <v>1</v>
      </c>
      <c r="H21" s="9">
        <v>6.6699999999999995E-2</v>
      </c>
      <c r="K21" t="s">
        <v>81</v>
      </c>
      <c r="L21">
        <v>6.0921612111983547E-2</v>
      </c>
      <c r="M21">
        <v>5.3573586524602326E-2</v>
      </c>
      <c r="N21">
        <v>1.1371576193430102</v>
      </c>
      <c r="O21">
        <v>0.26111738743166057</v>
      </c>
      <c r="P21">
        <v>-4.6795303044971037E-2</v>
      </c>
      <c r="Q21">
        <v>0.16863852726893813</v>
      </c>
      <c r="R21">
        <v>-4.6795303044971037E-2</v>
      </c>
      <c r="S21">
        <v>0.16863852726893813</v>
      </c>
    </row>
    <row r="22" spans="1:19" ht="15" thickBot="1" x14ac:dyDescent="0.4">
      <c r="A22" s="3">
        <v>32</v>
      </c>
      <c r="B22" s="3">
        <v>9</v>
      </c>
      <c r="C22" s="3">
        <v>23</v>
      </c>
      <c r="D22" s="3">
        <v>2</v>
      </c>
      <c r="E22" s="3">
        <v>0</v>
      </c>
      <c r="F22" s="3">
        <v>2</v>
      </c>
      <c r="G22">
        <v>0</v>
      </c>
      <c r="H22" s="9">
        <v>9.3799999999999994E-2</v>
      </c>
      <c r="K22" t="s">
        <v>2</v>
      </c>
      <c r="L22">
        <v>6.4095697271380238E-3</v>
      </c>
      <c r="M22">
        <v>1.1464393873911571E-2</v>
      </c>
      <c r="N22">
        <v>0.55908491958948403</v>
      </c>
      <c r="O22">
        <v>0.57870309058805747</v>
      </c>
      <c r="P22">
        <v>-1.6641139070842893E-2</v>
      </c>
      <c r="Q22">
        <v>2.9460278525118941E-2</v>
      </c>
      <c r="R22">
        <v>-1.6641139070842893E-2</v>
      </c>
      <c r="S22">
        <v>2.9460278525118941E-2</v>
      </c>
    </row>
    <row r="23" spans="1:19" ht="15" thickBot="1" x14ac:dyDescent="0.4">
      <c r="A23" s="3">
        <v>39</v>
      </c>
      <c r="B23" s="3">
        <v>12</v>
      </c>
      <c r="C23" s="3">
        <v>27</v>
      </c>
      <c r="D23" s="3">
        <v>1</v>
      </c>
      <c r="E23" s="3">
        <v>1</v>
      </c>
      <c r="F23" s="3">
        <v>2</v>
      </c>
      <c r="G23">
        <v>0</v>
      </c>
      <c r="H23" s="9">
        <v>0</v>
      </c>
      <c r="K23" t="s">
        <v>51</v>
      </c>
      <c r="L23">
        <v>-1.8813422451415894E-2</v>
      </c>
      <c r="M23">
        <v>1.1943268779477835E-2</v>
      </c>
      <c r="N23">
        <v>-1.5752322750822683</v>
      </c>
      <c r="O23">
        <v>0.12177163906418997</v>
      </c>
      <c r="P23">
        <v>-4.2826973779082358E-2</v>
      </c>
      <c r="Q23">
        <v>5.2001288762505704E-3</v>
      </c>
      <c r="R23">
        <v>-4.2826973779082358E-2</v>
      </c>
      <c r="S23">
        <v>5.2001288762505704E-3</v>
      </c>
    </row>
    <row r="24" spans="1:19" ht="15" thickBot="1" x14ac:dyDescent="0.4">
      <c r="A24" s="3">
        <v>33</v>
      </c>
      <c r="B24" s="3">
        <v>13</v>
      </c>
      <c r="C24" s="3">
        <v>20</v>
      </c>
      <c r="D24" s="3">
        <v>0</v>
      </c>
      <c r="E24" s="3">
        <v>0</v>
      </c>
      <c r="F24" s="3">
        <v>2</v>
      </c>
      <c r="G24">
        <v>1</v>
      </c>
      <c r="H24" s="9">
        <v>0</v>
      </c>
      <c r="K24" t="s">
        <v>52</v>
      </c>
      <c r="L24">
        <v>-3.0256369616584963E-3</v>
      </c>
      <c r="M24">
        <v>1.1748926230587682E-2</v>
      </c>
      <c r="N24">
        <v>-0.25752455179958633</v>
      </c>
      <c r="O24">
        <v>0.79787470848277509</v>
      </c>
      <c r="P24">
        <v>-2.6648436405641136E-2</v>
      </c>
      <c r="Q24">
        <v>2.0597162482324141E-2</v>
      </c>
      <c r="R24">
        <v>-2.6648436405641136E-2</v>
      </c>
      <c r="S24">
        <v>2.0597162482324141E-2</v>
      </c>
    </row>
    <row r="25" spans="1:19" ht="15" thickBot="1" x14ac:dyDescent="0.4">
      <c r="A25" s="3">
        <v>22</v>
      </c>
      <c r="B25" s="3">
        <v>12</v>
      </c>
      <c r="C25" s="3">
        <v>10</v>
      </c>
      <c r="D25" s="3">
        <v>1</v>
      </c>
      <c r="E25" s="3">
        <v>1</v>
      </c>
      <c r="F25" s="3">
        <v>2</v>
      </c>
      <c r="G25">
        <v>1</v>
      </c>
      <c r="H25" s="9">
        <v>0</v>
      </c>
      <c r="K25" t="s">
        <v>53</v>
      </c>
      <c r="L25">
        <v>6.63215176198879E-3</v>
      </c>
      <c r="M25">
        <v>6.6782925384476048E-3</v>
      </c>
      <c r="N25">
        <v>0.99309093212176947</v>
      </c>
      <c r="O25">
        <v>0.32564570653796898</v>
      </c>
      <c r="P25">
        <v>-6.7954553373965236E-3</v>
      </c>
      <c r="Q25">
        <v>2.0059758861374104E-2</v>
      </c>
      <c r="R25">
        <v>-6.7954553373965236E-3</v>
      </c>
      <c r="S25">
        <v>2.0059758861374104E-2</v>
      </c>
    </row>
    <row r="26" spans="1:19" ht="15" thickBot="1" x14ac:dyDescent="0.4">
      <c r="A26" s="3">
        <v>38</v>
      </c>
      <c r="B26" s="3">
        <v>11</v>
      </c>
      <c r="C26" s="3">
        <v>27</v>
      </c>
      <c r="D26" s="3">
        <v>1</v>
      </c>
      <c r="E26" s="3">
        <v>2</v>
      </c>
      <c r="F26" s="3">
        <v>3</v>
      </c>
      <c r="G26">
        <v>0</v>
      </c>
      <c r="H26" s="9">
        <v>0.15790000000000001</v>
      </c>
      <c r="K26" t="s">
        <v>54</v>
      </c>
      <c r="L26">
        <v>5.463487579272462E-3</v>
      </c>
      <c r="M26">
        <v>7.9210495982681497E-3</v>
      </c>
      <c r="N26">
        <v>0.68974288211337464</v>
      </c>
      <c r="O26">
        <v>0.49367722672818415</v>
      </c>
      <c r="P26">
        <v>-1.0462850059870934E-2</v>
      </c>
      <c r="Q26">
        <v>2.138982521841586E-2</v>
      </c>
      <c r="R26">
        <v>-1.0462850059870934E-2</v>
      </c>
      <c r="S26">
        <v>2.138982521841586E-2</v>
      </c>
    </row>
    <row r="27" spans="1:19" ht="15" thickBot="1" x14ac:dyDescent="0.4">
      <c r="A27" s="3">
        <v>31</v>
      </c>
      <c r="B27" s="3">
        <v>9</v>
      </c>
      <c r="C27" s="3">
        <v>22</v>
      </c>
      <c r="D27" s="3">
        <v>1</v>
      </c>
      <c r="E27" s="3">
        <v>1</v>
      </c>
      <c r="F27" s="3">
        <v>1</v>
      </c>
      <c r="G27">
        <v>1</v>
      </c>
      <c r="H27" s="9">
        <v>0.4194</v>
      </c>
      <c r="K27" t="s">
        <v>98</v>
      </c>
      <c r="L27">
        <v>1.8855950184514029E-2</v>
      </c>
      <c r="M27">
        <v>2.0942435577213609E-2</v>
      </c>
      <c r="N27">
        <v>0.90037045189864262</v>
      </c>
      <c r="O27">
        <v>0.37241839803086929</v>
      </c>
      <c r="P27">
        <v>-2.3251638696337933E-2</v>
      </c>
      <c r="Q27">
        <v>6.0963539065365988E-2</v>
      </c>
      <c r="R27">
        <v>-2.3251638696337933E-2</v>
      </c>
      <c r="S27">
        <v>6.0963539065365988E-2</v>
      </c>
    </row>
    <row r="28" spans="1:19" ht="15" thickBot="1" x14ac:dyDescent="0.4">
      <c r="A28" s="3">
        <v>15</v>
      </c>
      <c r="B28" s="3">
        <v>5</v>
      </c>
      <c r="C28" s="3">
        <v>10</v>
      </c>
      <c r="D28" s="3">
        <v>1</v>
      </c>
      <c r="E28" s="3">
        <v>0</v>
      </c>
      <c r="F28" s="3">
        <v>2</v>
      </c>
      <c r="G28">
        <v>1</v>
      </c>
      <c r="H28" s="9">
        <v>0.26669999999999999</v>
      </c>
      <c r="K28" s="30" t="s">
        <v>70</v>
      </c>
      <c r="L28" s="30">
        <v>5.7794355201524754E-2</v>
      </c>
      <c r="M28" s="30">
        <v>2.4414673575877108E-2</v>
      </c>
      <c r="N28" s="30">
        <v>2.3671975388861397</v>
      </c>
      <c r="O28" s="30">
        <v>2.2003065398493914E-2</v>
      </c>
      <c r="P28" s="30">
        <v>8.7053639138163566E-3</v>
      </c>
      <c r="Q28" s="30">
        <v>0.10688334648923314</v>
      </c>
      <c r="R28" s="30">
        <v>8.7053639138163566E-3</v>
      </c>
      <c r="S28" s="30">
        <v>0.10688334648923314</v>
      </c>
    </row>
    <row r="29" spans="1:19" ht="15" thickBot="1" x14ac:dyDescent="0.4">
      <c r="A29" s="3">
        <v>43</v>
      </c>
      <c r="B29" s="3">
        <v>18</v>
      </c>
      <c r="C29" s="3">
        <v>25</v>
      </c>
      <c r="D29" s="3">
        <v>1</v>
      </c>
      <c r="E29" s="3">
        <v>0</v>
      </c>
      <c r="F29" s="3">
        <v>3</v>
      </c>
      <c r="G29">
        <v>0</v>
      </c>
      <c r="H29" s="9">
        <v>2.3300000000000001E-2</v>
      </c>
    </row>
    <row r="30" spans="1:19" ht="15" thickBot="1" x14ac:dyDescent="0.4">
      <c r="A30" s="3">
        <v>38</v>
      </c>
      <c r="B30" s="3">
        <v>15</v>
      </c>
      <c r="C30" s="3">
        <v>23</v>
      </c>
      <c r="D30" s="3">
        <v>2</v>
      </c>
      <c r="E30" s="3">
        <v>1</v>
      </c>
      <c r="F30" s="3">
        <v>2</v>
      </c>
      <c r="G30">
        <v>1</v>
      </c>
      <c r="H30" s="9">
        <v>2.63E-2</v>
      </c>
    </row>
    <row r="31" spans="1:19" ht="15" thickBot="1" x14ac:dyDescent="0.4">
      <c r="A31" s="3">
        <v>39</v>
      </c>
      <c r="B31" s="3">
        <v>11</v>
      </c>
      <c r="C31" s="3">
        <v>28</v>
      </c>
      <c r="D31" s="3">
        <v>1</v>
      </c>
      <c r="E31" s="3">
        <v>1</v>
      </c>
      <c r="F31" s="3">
        <v>3</v>
      </c>
      <c r="G31">
        <v>0</v>
      </c>
      <c r="H31" s="9">
        <v>5.1299999999999998E-2</v>
      </c>
    </row>
    <row r="32" spans="1:19" ht="15" thickBot="1" x14ac:dyDescent="0.4">
      <c r="A32" s="3">
        <v>44</v>
      </c>
      <c r="B32" s="3">
        <v>12</v>
      </c>
      <c r="C32" s="3">
        <v>32</v>
      </c>
      <c r="D32" s="3">
        <v>1</v>
      </c>
      <c r="E32" s="3">
        <v>1</v>
      </c>
      <c r="F32" s="3">
        <v>3</v>
      </c>
      <c r="G32">
        <v>1</v>
      </c>
      <c r="H32" s="9">
        <v>9.0899999999999995E-2</v>
      </c>
      <c r="K32" t="s">
        <v>94</v>
      </c>
    </row>
    <row r="33" spans="1:13" ht="15" thickBot="1" x14ac:dyDescent="0.4">
      <c r="A33" s="3">
        <v>30</v>
      </c>
      <c r="B33" s="3">
        <v>11</v>
      </c>
      <c r="C33" s="3">
        <v>19</v>
      </c>
      <c r="D33" s="3">
        <v>1</v>
      </c>
      <c r="E33" s="3">
        <v>1</v>
      </c>
      <c r="F33" s="3">
        <v>2</v>
      </c>
      <c r="G33">
        <v>0</v>
      </c>
      <c r="H33" s="9">
        <v>3.3300000000000003E-2</v>
      </c>
    </row>
    <row r="34" spans="1:13" ht="15" thickBot="1" x14ac:dyDescent="0.4">
      <c r="A34" s="3">
        <v>39</v>
      </c>
      <c r="B34" s="3">
        <v>13</v>
      </c>
      <c r="C34" s="3">
        <v>26</v>
      </c>
      <c r="D34" s="3">
        <v>2</v>
      </c>
      <c r="E34" s="3">
        <v>4</v>
      </c>
      <c r="F34" s="3">
        <v>3</v>
      </c>
      <c r="G34">
        <v>1</v>
      </c>
      <c r="H34" s="9">
        <v>0.2051</v>
      </c>
      <c r="K34" s="31" t="s">
        <v>95</v>
      </c>
      <c r="L34" s="31" t="s">
        <v>96</v>
      </c>
      <c r="M34" s="31" t="s">
        <v>97</v>
      </c>
    </row>
    <row r="35" spans="1:13" ht="15" thickBot="1" x14ac:dyDescent="0.4">
      <c r="A35" s="3">
        <v>46</v>
      </c>
      <c r="B35" s="3">
        <v>13</v>
      </c>
      <c r="C35" s="3">
        <v>33</v>
      </c>
      <c r="D35" s="3">
        <v>0</v>
      </c>
      <c r="E35" s="3">
        <v>0</v>
      </c>
      <c r="F35" s="3">
        <v>2</v>
      </c>
      <c r="G35">
        <v>0</v>
      </c>
      <c r="H35" s="9">
        <v>0</v>
      </c>
      <c r="K35">
        <v>1</v>
      </c>
      <c r="L35">
        <v>0.12427097667931192</v>
      </c>
      <c r="M35">
        <v>8.022902332068807E-2</v>
      </c>
    </row>
    <row r="36" spans="1:13" ht="15" thickBot="1" x14ac:dyDescent="0.4">
      <c r="A36" s="3">
        <v>46</v>
      </c>
      <c r="B36" s="3">
        <v>13</v>
      </c>
      <c r="C36" s="3">
        <v>33</v>
      </c>
      <c r="D36" s="3">
        <v>0</v>
      </c>
      <c r="E36" s="3">
        <v>2</v>
      </c>
      <c r="F36" s="3">
        <v>3</v>
      </c>
      <c r="G36">
        <v>0</v>
      </c>
      <c r="H36" s="9">
        <v>6.5199999999999994E-2</v>
      </c>
      <c r="K36">
        <v>2</v>
      </c>
      <c r="L36">
        <v>0.11153943542670272</v>
      </c>
      <c r="M36">
        <v>0.11926056457329728</v>
      </c>
    </row>
    <row r="37" spans="1:13" ht="15" thickBot="1" x14ac:dyDescent="0.4">
      <c r="A37" s="3">
        <v>32</v>
      </c>
      <c r="B37" s="3">
        <v>12</v>
      </c>
      <c r="C37" s="3">
        <v>20</v>
      </c>
      <c r="D37" s="3">
        <v>0</v>
      </c>
      <c r="E37" s="3">
        <v>3</v>
      </c>
      <c r="F37" s="3">
        <v>2</v>
      </c>
      <c r="G37">
        <v>1</v>
      </c>
      <c r="H37" s="9">
        <v>0</v>
      </c>
      <c r="K37">
        <v>3</v>
      </c>
      <c r="L37">
        <v>2.7441086221925006E-2</v>
      </c>
      <c r="M37">
        <v>1.1058913778074993E-2</v>
      </c>
    </row>
    <row r="38" spans="1:13" ht="15" thickBot="1" x14ac:dyDescent="0.4">
      <c r="A38" s="3">
        <v>52</v>
      </c>
      <c r="B38" s="3">
        <v>17</v>
      </c>
      <c r="C38" s="3">
        <v>35</v>
      </c>
      <c r="D38" s="3">
        <v>0</v>
      </c>
      <c r="E38" s="3">
        <v>1</v>
      </c>
      <c r="F38" s="3">
        <v>3</v>
      </c>
      <c r="G38">
        <v>1</v>
      </c>
      <c r="H38" s="9">
        <v>1.9199999999999998E-2</v>
      </c>
      <c r="K38">
        <v>4</v>
      </c>
      <c r="L38">
        <v>5.8088609924418604E-2</v>
      </c>
      <c r="M38">
        <v>4.4511390075581393E-2</v>
      </c>
    </row>
    <row r="39" spans="1:13" ht="15" thickBot="1" x14ac:dyDescent="0.4">
      <c r="A39" s="3">
        <v>28</v>
      </c>
      <c r="B39" s="3">
        <v>9</v>
      </c>
      <c r="C39" s="3">
        <v>19</v>
      </c>
      <c r="D39" s="3">
        <v>0</v>
      </c>
      <c r="E39" s="3">
        <v>1</v>
      </c>
      <c r="F39" s="3">
        <v>2</v>
      </c>
      <c r="G39">
        <v>0</v>
      </c>
      <c r="H39" s="9">
        <v>0</v>
      </c>
      <c r="K39">
        <v>5</v>
      </c>
      <c r="L39">
        <v>6.3243884120674415E-2</v>
      </c>
      <c r="M39">
        <v>1.1756115879325582E-2</v>
      </c>
    </row>
    <row r="40" spans="1:13" ht="15" thickBot="1" x14ac:dyDescent="0.4">
      <c r="A40" s="3">
        <v>41</v>
      </c>
      <c r="B40" s="3">
        <v>13</v>
      </c>
      <c r="C40" s="3">
        <v>28</v>
      </c>
      <c r="D40" s="3">
        <v>0</v>
      </c>
      <c r="E40" s="3">
        <v>0</v>
      </c>
      <c r="F40" s="3">
        <v>2</v>
      </c>
      <c r="G40">
        <v>1</v>
      </c>
      <c r="H40" s="9">
        <v>2.4400000000000002E-2</v>
      </c>
      <c r="K40">
        <v>6</v>
      </c>
      <c r="L40">
        <v>3.2300000000000384E-2</v>
      </c>
      <c r="M40">
        <v>-3.8163916471489756E-16</v>
      </c>
    </row>
    <row r="41" spans="1:13" ht="15" thickBot="1" x14ac:dyDescent="0.4">
      <c r="A41" s="3">
        <v>18</v>
      </c>
      <c r="B41" s="3">
        <v>8</v>
      </c>
      <c r="C41" s="3">
        <v>10</v>
      </c>
      <c r="D41" s="3">
        <v>0</v>
      </c>
      <c r="E41" s="3">
        <v>0</v>
      </c>
      <c r="F41" s="3">
        <v>1</v>
      </c>
      <c r="G41">
        <v>0</v>
      </c>
      <c r="H41" s="9">
        <v>0</v>
      </c>
      <c r="K41">
        <v>7</v>
      </c>
      <c r="L41">
        <v>7.0306059462860046E-2</v>
      </c>
      <c r="M41">
        <v>-4.7006059462860045E-2</v>
      </c>
    </row>
    <row r="42" spans="1:13" ht="15" thickBot="1" x14ac:dyDescent="0.4">
      <c r="A42" s="3">
        <v>33</v>
      </c>
      <c r="B42" s="3">
        <v>10</v>
      </c>
      <c r="C42" s="3">
        <v>23</v>
      </c>
      <c r="D42" s="3">
        <v>0</v>
      </c>
      <c r="E42" s="3">
        <v>1</v>
      </c>
      <c r="F42" s="3">
        <v>3</v>
      </c>
      <c r="G42">
        <v>1</v>
      </c>
      <c r="H42" s="9">
        <v>0.33329999999999999</v>
      </c>
      <c r="K42">
        <v>8</v>
      </c>
      <c r="L42">
        <v>8.1266413338509674E-2</v>
      </c>
      <c r="M42">
        <v>2.0335866614903247E-3</v>
      </c>
    </row>
    <row r="43" spans="1:13" ht="15" thickBot="1" x14ac:dyDescent="0.4">
      <c r="A43" s="3">
        <v>30</v>
      </c>
      <c r="B43" s="3">
        <v>13</v>
      </c>
      <c r="C43" s="3">
        <v>17</v>
      </c>
      <c r="D43" s="3">
        <v>0</v>
      </c>
      <c r="E43" s="3">
        <v>1</v>
      </c>
      <c r="F43" s="3">
        <v>2</v>
      </c>
      <c r="G43">
        <v>0</v>
      </c>
      <c r="H43" s="9">
        <v>0</v>
      </c>
      <c r="K43">
        <v>9</v>
      </c>
      <c r="L43">
        <v>8.2892167813239409E-2</v>
      </c>
      <c r="M43">
        <v>-4.2892167813239408E-2</v>
      </c>
    </row>
    <row r="44" spans="1:13" ht="15" thickBot="1" x14ac:dyDescent="0.4">
      <c r="A44" s="3">
        <v>42</v>
      </c>
      <c r="B44" s="3">
        <v>16</v>
      </c>
      <c r="C44" s="3">
        <v>26</v>
      </c>
      <c r="D44" s="3">
        <v>0</v>
      </c>
      <c r="E44" s="3">
        <v>0</v>
      </c>
      <c r="F44" s="3">
        <v>3</v>
      </c>
      <c r="G44">
        <v>1</v>
      </c>
      <c r="H44" s="9">
        <v>7.1400000000000005E-2</v>
      </c>
      <c r="K44">
        <v>10</v>
      </c>
      <c r="L44">
        <v>0.10883574510535346</v>
      </c>
      <c r="M44">
        <v>0.19116425489464653</v>
      </c>
    </row>
    <row r="45" spans="1:13" ht="15" thickBot="1" x14ac:dyDescent="0.4">
      <c r="A45" s="3">
        <v>38</v>
      </c>
      <c r="B45" s="3">
        <v>14</v>
      </c>
      <c r="C45" s="3">
        <v>24</v>
      </c>
      <c r="D45" s="3">
        <v>0</v>
      </c>
      <c r="E45" s="3">
        <v>4</v>
      </c>
      <c r="F45" s="3">
        <v>3</v>
      </c>
      <c r="G45">
        <v>0</v>
      </c>
      <c r="H45" s="9">
        <v>2.63E-2</v>
      </c>
      <c r="K45">
        <v>11</v>
      </c>
      <c r="L45">
        <v>6.3817425743037115E-2</v>
      </c>
      <c r="M45">
        <v>3.1382574256962892E-2</v>
      </c>
    </row>
    <row r="46" spans="1:13" ht="15" thickBot="1" x14ac:dyDescent="0.4">
      <c r="A46" s="3">
        <v>48</v>
      </c>
      <c r="B46" s="3">
        <v>14</v>
      </c>
      <c r="C46" s="3">
        <v>34</v>
      </c>
      <c r="D46" s="3">
        <v>4</v>
      </c>
      <c r="E46" s="3">
        <v>4</v>
      </c>
      <c r="F46" s="3">
        <v>2</v>
      </c>
      <c r="G46">
        <v>1</v>
      </c>
      <c r="H46" s="9">
        <v>2.0799999999999999E-2</v>
      </c>
      <c r="K46">
        <v>12</v>
      </c>
      <c r="L46">
        <v>0.12211967782846256</v>
      </c>
      <c r="M46">
        <v>-3.7019677828462563E-2</v>
      </c>
    </row>
    <row r="47" spans="1:13" ht="15" thickBot="1" x14ac:dyDescent="0.4">
      <c r="A47" s="3">
        <v>45</v>
      </c>
      <c r="B47" s="3">
        <v>17</v>
      </c>
      <c r="C47" s="3">
        <v>28</v>
      </c>
      <c r="D47" s="3">
        <v>0</v>
      </c>
      <c r="E47" s="3">
        <v>0</v>
      </c>
      <c r="F47" s="3">
        <v>3</v>
      </c>
      <c r="G47">
        <v>1</v>
      </c>
      <c r="H47" s="9">
        <v>0.2</v>
      </c>
      <c r="K47">
        <v>13</v>
      </c>
      <c r="L47">
        <v>8.0452350342124418E-2</v>
      </c>
      <c r="M47">
        <v>6.2447649657875581E-2</v>
      </c>
    </row>
    <row r="48" spans="1:13" ht="15" thickBot="1" x14ac:dyDescent="0.4">
      <c r="A48" s="3">
        <v>20</v>
      </c>
      <c r="B48" s="3">
        <v>7</v>
      </c>
      <c r="C48" s="3">
        <v>13</v>
      </c>
      <c r="D48" s="3">
        <v>0</v>
      </c>
      <c r="E48" s="3">
        <v>0</v>
      </c>
      <c r="F48" s="3">
        <v>2</v>
      </c>
      <c r="G48">
        <v>0</v>
      </c>
      <c r="H48" s="9">
        <v>0</v>
      </c>
      <c r="K48">
        <v>14</v>
      </c>
      <c r="L48">
        <v>2.141380752887154E-2</v>
      </c>
      <c r="M48">
        <v>-1.0138075288715388E-3</v>
      </c>
    </row>
    <row r="49" spans="1:13" ht="15" thickBot="1" x14ac:dyDescent="0.4">
      <c r="A49" s="3">
        <v>48</v>
      </c>
      <c r="B49" s="3">
        <v>16</v>
      </c>
      <c r="C49" s="3">
        <v>32</v>
      </c>
      <c r="D49" s="3">
        <v>0</v>
      </c>
      <c r="E49" s="3">
        <v>0</v>
      </c>
      <c r="F49" s="3">
        <v>2</v>
      </c>
      <c r="G49">
        <v>1</v>
      </c>
      <c r="H49" s="9">
        <v>2.0799999999999999E-2</v>
      </c>
      <c r="K49">
        <v>15</v>
      </c>
      <c r="L49">
        <v>0.14352979652523795</v>
      </c>
      <c r="M49">
        <v>-4.5929796525237945E-2</v>
      </c>
    </row>
    <row r="50" spans="1:13" ht="15" thickBot="1" x14ac:dyDescent="0.4">
      <c r="A50" s="3">
        <v>44</v>
      </c>
      <c r="B50" s="3">
        <v>14</v>
      </c>
      <c r="C50" s="3">
        <v>30</v>
      </c>
      <c r="D50" s="3">
        <v>2</v>
      </c>
      <c r="E50" s="3">
        <v>1</v>
      </c>
      <c r="F50" s="3">
        <v>3</v>
      </c>
      <c r="G50">
        <v>0</v>
      </c>
      <c r="H50" s="9">
        <v>9.0899999999999995E-2</v>
      </c>
      <c r="K50">
        <v>16</v>
      </c>
      <c r="L50">
        <v>5.0175212069518506E-2</v>
      </c>
      <c r="M50">
        <v>-1.5675212069518503E-2</v>
      </c>
    </row>
    <row r="51" spans="1:13" ht="15" thickBot="1" x14ac:dyDescent="0.4">
      <c r="A51" s="3">
        <v>25</v>
      </c>
      <c r="B51" s="3">
        <v>5</v>
      </c>
      <c r="C51" s="3">
        <v>20</v>
      </c>
      <c r="D51" s="3">
        <v>0</v>
      </c>
      <c r="E51" s="3">
        <v>0</v>
      </c>
      <c r="F51" s="3">
        <v>2</v>
      </c>
      <c r="G51">
        <v>1</v>
      </c>
      <c r="H51" s="9">
        <v>0</v>
      </c>
      <c r="K51">
        <v>17</v>
      </c>
      <c r="L51">
        <v>0.1044480930834977</v>
      </c>
      <c r="M51">
        <v>-7.5048093083497705E-2</v>
      </c>
    </row>
    <row r="52" spans="1:13" ht="15" thickBot="1" x14ac:dyDescent="0.4">
      <c r="A52" s="3">
        <v>49</v>
      </c>
      <c r="B52" s="3">
        <v>16</v>
      </c>
      <c r="C52" s="3">
        <v>33</v>
      </c>
      <c r="D52" s="3">
        <v>0</v>
      </c>
      <c r="E52" s="3">
        <v>1</v>
      </c>
      <c r="F52" s="3">
        <v>3</v>
      </c>
      <c r="G52">
        <v>1</v>
      </c>
      <c r="H52" s="9">
        <v>4.0800000000000003E-2</v>
      </c>
      <c r="K52">
        <v>18</v>
      </c>
      <c r="L52">
        <v>9.1072941178017591E-2</v>
      </c>
      <c r="M52">
        <v>-9.1072941178017591E-2</v>
      </c>
    </row>
    <row r="53" spans="1:13" ht="15" thickBot="1" x14ac:dyDescent="0.4">
      <c r="A53" s="3">
        <v>23</v>
      </c>
      <c r="B53" s="3">
        <v>5</v>
      </c>
      <c r="C53" s="3">
        <v>18</v>
      </c>
      <c r="D53" s="3">
        <v>0</v>
      </c>
      <c r="E53" s="3">
        <v>0</v>
      </c>
      <c r="F53" s="3">
        <v>1</v>
      </c>
      <c r="G53">
        <v>1</v>
      </c>
      <c r="H53" s="9">
        <v>8.6999999999999994E-2</v>
      </c>
      <c r="K53">
        <v>19</v>
      </c>
      <c r="L53">
        <v>0.14461135911726516</v>
      </c>
      <c r="M53">
        <v>-7.7911359117265169E-2</v>
      </c>
    </row>
    <row r="54" spans="1:13" ht="15" thickBot="1" x14ac:dyDescent="0.4">
      <c r="A54" s="3">
        <v>31</v>
      </c>
      <c r="B54" s="3">
        <v>12</v>
      </c>
      <c r="C54" s="3">
        <v>19</v>
      </c>
      <c r="D54" s="3">
        <v>0</v>
      </c>
      <c r="E54" s="3">
        <v>0</v>
      </c>
      <c r="F54" s="3">
        <v>2</v>
      </c>
      <c r="G54">
        <v>0</v>
      </c>
      <c r="H54" s="9">
        <v>3.2300000000000002E-2</v>
      </c>
      <c r="K54">
        <v>20</v>
      </c>
      <c r="L54">
        <v>7.8093595092517482E-2</v>
      </c>
      <c r="M54">
        <v>1.5706404907482513E-2</v>
      </c>
    </row>
    <row r="55" spans="1:13" ht="15" thickBot="1" x14ac:dyDescent="0.4">
      <c r="A55" s="3">
        <v>28</v>
      </c>
      <c r="B55" s="3">
        <v>10</v>
      </c>
      <c r="C55" s="3">
        <v>18</v>
      </c>
      <c r="D55" s="3">
        <v>0</v>
      </c>
      <c r="E55" s="3">
        <v>0</v>
      </c>
      <c r="F55" s="3">
        <v>2</v>
      </c>
      <c r="G55">
        <v>1</v>
      </c>
      <c r="H55" s="9">
        <v>3.5700000000000003E-2</v>
      </c>
      <c r="K55">
        <v>21</v>
      </c>
      <c r="L55">
        <v>5.324910379888563E-2</v>
      </c>
      <c r="M55">
        <v>-5.324910379888563E-2</v>
      </c>
    </row>
    <row r="56" spans="1:13" ht="15" thickBot="1" x14ac:dyDescent="0.4">
      <c r="A56" s="3">
        <v>53</v>
      </c>
      <c r="B56" s="3">
        <v>11</v>
      </c>
      <c r="C56" s="3">
        <v>42</v>
      </c>
      <c r="D56" s="3">
        <v>0</v>
      </c>
      <c r="E56" s="3">
        <v>0</v>
      </c>
      <c r="F56" s="3">
        <v>3</v>
      </c>
      <c r="G56">
        <v>1</v>
      </c>
      <c r="H56" s="9">
        <v>0.20749999999999999</v>
      </c>
      <c r="K56">
        <v>22</v>
      </c>
      <c r="L56">
        <v>6.2856437576514587E-2</v>
      </c>
      <c r="M56">
        <v>-6.2856437576514587E-2</v>
      </c>
    </row>
    <row r="57" spans="1:13" ht="15" thickBot="1" x14ac:dyDescent="0.4">
      <c r="A57" s="3">
        <v>44</v>
      </c>
      <c r="B57" s="3">
        <v>19</v>
      </c>
      <c r="C57" s="3">
        <v>25</v>
      </c>
      <c r="D57" s="3">
        <v>4</v>
      </c>
      <c r="E57" s="3">
        <v>0</v>
      </c>
      <c r="F57" s="3">
        <v>2</v>
      </c>
      <c r="G57">
        <v>0</v>
      </c>
      <c r="H57" s="9">
        <v>2.2700000000000001E-2</v>
      </c>
      <c r="K57">
        <v>23</v>
      </c>
      <c r="L57">
        <v>5.3516601987258446E-2</v>
      </c>
      <c r="M57">
        <v>-5.3516601987258446E-2</v>
      </c>
    </row>
    <row r="58" spans="1:13" ht="15" thickBot="1" x14ac:dyDescent="0.4">
      <c r="A58" s="3">
        <v>37</v>
      </c>
      <c r="B58" s="3">
        <v>10</v>
      </c>
      <c r="C58" s="3">
        <v>27</v>
      </c>
      <c r="D58" s="3">
        <v>0</v>
      </c>
      <c r="E58" s="3">
        <v>0</v>
      </c>
      <c r="F58" s="3">
        <v>3</v>
      </c>
      <c r="G58">
        <v>0</v>
      </c>
      <c r="H58" s="9">
        <v>0.1081</v>
      </c>
      <c r="K58">
        <v>24</v>
      </c>
      <c r="L58">
        <v>8.9972394286950003E-2</v>
      </c>
      <c r="M58">
        <v>6.792760571305001E-2</v>
      </c>
    </row>
    <row r="59" spans="1:13" x14ac:dyDescent="0.35">
      <c r="K59">
        <v>25</v>
      </c>
      <c r="L59">
        <v>0.11247940316133237</v>
      </c>
      <c r="M59">
        <v>0.30692059683866763</v>
      </c>
    </row>
    <row r="60" spans="1:13" x14ac:dyDescent="0.35">
      <c r="K60">
        <v>26</v>
      </c>
      <c r="L60">
        <v>0.13488008347793107</v>
      </c>
      <c r="M60">
        <v>0.13181991652206893</v>
      </c>
    </row>
    <row r="61" spans="1:13" x14ac:dyDescent="0.35">
      <c r="K61">
        <v>27</v>
      </c>
      <c r="L61">
        <v>-1.4549415472499036E-2</v>
      </c>
      <c r="M61">
        <v>3.7849415472499037E-2</v>
      </c>
    </row>
    <row r="62" spans="1:13" x14ac:dyDescent="0.35">
      <c r="K62">
        <v>28</v>
      </c>
      <c r="L62">
        <v>6.6928321527647439E-2</v>
      </c>
      <c r="M62">
        <v>-4.0628321527647435E-2</v>
      </c>
    </row>
    <row r="63" spans="1:13" x14ac:dyDescent="0.35">
      <c r="K63">
        <v>29</v>
      </c>
      <c r="L63">
        <v>8.7892839473157069E-2</v>
      </c>
      <c r="M63">
        <v>-3.6592839473157071E-2</v>
      </c>
    </row>
    <row r="64" spans="1:13" x14ac:dyDescent="0.35">
      <c r="K64">
        <v>30</v>
      </c>
      <c r="L64">
        <v>0.14681907301232211</v>
      </c>
      <c r="M64">
        <v>-5.5919073012322115E-2</v>
      </c>
    </row>
    <row r="65" spans="11:13" x14ac:dyDescent="0.35">
      <c r="K65">
        <v>31</v>
      </c>
      <c r="L65">
        <v>3.8581494399327322E-2</v>
      </c>
      <c r="M65">
        <v>-5.2814943993273189E-3</v>
      </c>
    </row>
    <row r="66" spans="11:13" x14ac:dyDescent="0.35">
      <c r="K66">
        <v>32</v>
      </c>
      <c r="L66">
        <v>0.1371342381949732</v>
      </c>
      <c r="M66">
        <v>6.7965761805026809E-2</v>
      </c>
    </row>
    <row r="67" spans="11:13" x14ac:dyDescent="0.35">
      <c r="K67">
        <v>33</v>
      </c>
      <c r="L67">
        <v>4.9053208326223695E-2</v>
      </c>
      <c r="M67">
        <v>-4.9053208326223695E-2</v>
      </c>
    </row>
    <row r="68" spans="11:13" x14ac:dyDescent="0.35">
      <c r="K68">
        <v>34</v>
      </c>
      <c r="L68">
        <v>7.883613366928266E-2</v>
      </c>
      <c r="M68">
        <v>-1.3636133669282666E-2</v>
      </c>
    </row>
    <row r="69" spans="11:13" x14ac:dyDescent="0.35">
      <c r="K69">
        <v>35</v>
      </c>
      <c r="L69">
        <v>9.1650753038609853E-2</v>
      </c>
      <c r="M69">
        <v>-9.1650753038609853E-2</v>
      </c>
    </row>
    <row r="70" spans="11:13" x14ac:dyDescent="0.35">
      <c r="K70">
        <v>36</v>
      </c>
      <c r="L70">
        <v>8.8319455925382526E-2</v>
      </c>
      <c r="M70">
        <v>-6.9119455925382531E-2</v>
      </c>
    </row>
    <row r="71" spans="11:13" x14ac:dyDescent="0.35">
      <c r="K71">
        <v>37</v>
      </c>
      <c r="L71">
        <v>5.6757048085894268E-2</v>
      </c>
      <c r="M71">
        <v>-5.6757048085894268E-2</v>
      </c>
    </row>
    <row r="72" spans="11:13" x14ac:dyDescent="0.35">
      <c r="K72">
        <v>38</v>
      </c>
      <c r="L72">
        <v>8.9927899700350838E-2</v>
      </c>
      <c r="M72">
        <v>-6.5527899700350833E-2</v>
      </c>
    </row>
    <row r="73" spans="11:13" x14ac:dyDescent="0.35">
      <c r="K73">
        <v>39</v>
      </c>
      <c r="L73">
        <v>1.4386068157069883E-2</v>
      </c>
      <c r="M73">
        <v>-1.4386068157069883E-2</v>
      </c>
    </row>
    <row r="74" spans="11:13" x14ac:dyDescent="0.35">
      <c r="K74">
        <v>40</v>
      </c>
      <c r="L74">
        <v>0.13453923180957328</v>
      </c>
      <c r="M74">
        <v>0.19876076819042671</v>
      </c>
    </row>
    <row r="75" spans="11:13" x14ac:dyDescent="0.35">
      <c r="K75">
        <v>41</v>
      </c>
      <c r="L75">
        <v>3.7377165782372102E-4</v>
      </c>
      <c r="M75">
        <v>-3.7377165782372102E-4</v>
      </c>
    </row>
    <row r="76" spans="11:13" x14ac:dyDescent="0.35">
      <c r="K76">
        <v>42</v>
      </c>
      <c r="L76">
        <v>6.4804426181072211E-2</v>
      </c>
      <c r="M76">
        <v>6.595573818927794E-3</v>
      </c>
    </row>
    <row r="77" spans="11:13" x14ac:dyDescent="0.35">
      <c r="K77">
        <v>43</v>
      </c>
      <c r="L77">
        <v>4.6903861214233955E-2</v>
      </c>
      <c r="M77">
        <v>-2.0603861214233955E-2</v>
      </c>
    </row>
    <row r="78" spans="11:13" x14ac:dyDescent="0.35">
      <c r="K78">
        <v>44</v>
      </c>
      <c r="L78">
        <v>0.14621020093399514</v>
      </c>
      <c r="M78">
        <v>-0.12541020093399513</v>
      </c>
    </row>
    <row r="79" spans="11:13" x14ac:dyDescent="0.35">
      <c r="K79">
        <v>45</v>
      </c>
      <c r="L79">
        <v>5.9168438987753404E-2</v>
      </c>
      <c r="M79">
        <v>0.14083156101224661</v>
      </c>
    </row>
    <row r="80" spans="11:13" x14ac:dyDescent="0.35">
      <c r="K80">
        <v>46</v>
      </c>
      <c r="L80">
        <v>5.5797669362300364E-2</v>
      </c>
      <c r="M80">
        <v>-5.5797669362300364E-2</v>
      </c>
    </row>
    <row r="81" spans="11:13" x14ac:dyDescent="0.35">
      <c r="K81">
        <v>47</v>
      </c>
      <c r="L81">
        <v>6.6252072589435315E-2</v>
      </c>
      <c r="M81">
        <v>-4.5452072589435316E-2</v>
      </c>
    </row>
    <row r="82" spans="11:13" x14ac:dyDescent="0.35">
      <c r="K82">
        <v>48</v>
      </c>
      <c r="L82">
        <v>6.4081298593271344E-2</v>
      </c>
      <c r="M82">
        <v>2.6818701406728651E-2</v>
      </c>
    </row>
    <row r="83" spans="11:13" x14ac:dyDescent="0.35">
      <c r="K83">
        <v>49</v>
      </c>
      <c r="L83">
        <v>0.16208725937073756</v>
      </c>
      <c r="M83">
        <v>-0.16208725937073756</v>
      </c>
    </row>
    <row r="84" spans="11:13" x14ac:dyDescent="0.35">
      <c r="K84">
        <v>50</v>
      </c>
      <c r="L84">
        <v>9.3955443118701326E-2</v>
      </c>
      <c r="M84">
        <v>-5.3155443118701323E-2</v>
      </c>
    </row>
    <row r="85" spans="11:13" x14ac:dyDescent="0.35">
      <c r="K85">
        <v>51</v>
      </c>
      <c r="L85">
        <v>0.13646344365526447</v>
      </c>
      <c r="M85">
        <v>-4.9463443655264477E-2</v>
      </c>
    </row>
    <row r="86" spans="11:13" x14ac:dyDescent="0.35">
      <c r="K86">
        <v>52</v>
      </c>
      <c r="L86">
        <v>1.4082002333788188E-2</v>
      </c>
      <c r="M86">
        <v>1.8217997666211815E-2</v>
      </c>
    </row>
    <row r="87" spans="11:13" x14ac:dyDescent="0.35">
      <c r="K87">
        <v>53</v>
      </c>
      <c r="L87">
        <v>9.3300130218389149E-2</v>
      </c>
      <c r="M87">
        <v>-5.7600130218389146E-2</v>
      </c>
    </row>
    <row r="88" spans="11:13" x14ac:dyDescent="0.35">
      <c r="K88">
        <v>54</v>
      </c>
      <c r="L88">
        <v>0.18096661405013395</v>
      </c>
      <c r="M88">
        <v>2.653338594986604E-2</v>
      </c>
    </row>
    <row r="89" spans="11:13" x14ac:dyDescent="0.35">
      <c r="K89">
        <v>55</v>
      </c>
      <c r="L89">
        <v>-2.5912763095324552E-2</v>
      </c>
      <c r="M89">
        <v>4.8612763095324557E-2</v>
      </c>
    </row>
    <row r="90" spans="11:13" ht="15" thickBot="1" x14ac:dyDescent="0.4">
      <c r="K90" s="30">
        <v>56</v>
      </c>
      <c r="L90" s="30">
        <v>8.4817120090694142E-2</v>
      </c>
      <c r="M90" s="30">
        <v>2.3282879909305859E-2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7669-C39B-4E33-A9B9-7CADD456DBDD}">
  <dimension ref="A1:S84"/>
  <sheetViews>
    <sheetView workbookViewId="0">
      <selection activeCell="B1" sqref="B1:B57"/>
    </sheetView>
  </sheetViews>
  <sheetFormatPr defaultRowHeight="14.5" x14ac:dyDescent="0.35"/>
  <cols>
    <col min="1" max="1" width="6.90625" bestFit="1" customWidth="1"/>
    <col min="5" max="5" width="18.1796875" customWidth="1"/>
    <col min="6" max="6" width="12.453125" bestFit="1" customWidth="1"/>
    <col min="7" max="7" width="13.54296875" bestFit="1" customWidth="1"/>
    <col min="9" max="9" width="11.81640625" bestFit="1" customWidth="1"/>
    <col min="11" max="11" width="18.1796875" bestFit="1" customWidth="1"/>
  </cols>
  <sheetData>
    <row r="1" spans="1:16" ht="39.5" thickBot="1" x14ac:dyDescent="0.4">
      <c r="A1" s="25" t="s">
        <v>51</v>
      </c>
      <c r="B1" s="25" t="s">
        <v>3</v>
      </c>
    </row>
    <row r="2" spans="1:16" ht="15" thickBot="1" x14ac:dyDescent="0.4">
      <c r="A2" s="3">
        <v>13</v>
      </c>
      <c r="B2" s="9">
        <v>0.20449999999999999</v>
      </c>
    </row>
    <row r="3" spans="1:16" ht="15" thickBot="1" x14ac:dyDescent="0.4">
      <c r="A3" s="3">
        <v>9</v>
      </c>
      <c r="B3" s="9">
        <v>0.23080000000000001</v>
      </c>
    </row>
    <row r="4" spans="1:16" ht="15" thickBot="1" x14ac:dyDescent="0.4">
      <c r="A4" s="3">
        <v>10</v>
      </c>
      <c r="B4" s="9">
        <v>3.85E-2</v>
      </c>
    </row>
    <row r="5" spans="1:16" ht="15" thickBot="1" x14ac:dyDescent="0.4">
      <c r="A5" s="3">
        <v>14</v>
      </c>
      <c r="B5" s="9">
        <v>0.1026</v>
      </c>
      <c r="E5" t="s">
        <v>71</v>
      </c>
    </row>
    <row r="6" spans="1:16" ht="15" thickBot="1" x14ac:dyDescent="0.4">
      <c r="A6" s="3">
        <v>15</v>
      </c>
      <c r="B6" s="9">
        <v>7.4999999999999997E-2</v>
      </c>
    </row>
    <row r="7" spans="1:16" ht="15" thickBot="1" x14ac:dyDescent="0.4">
      <c r="A7" s="3">
        <v>15</v>
      </c>
      <c r="B7" s="9">
        <v>3.2300000000000002E-2</v>
      </c>
      <c r="E7" s="5" t="s">
        <v>72</v>
      </c>
      <c r="F7" s="5"/>
    </row>
    <row r="8" spans="1:16" ht="15" thickBot="1" x14ac:dyDescent="0.4">
      <c r="A8" s="3">
        <v>18</v>
      </c>
      <c r="B8" s="9">
        <v>2.3300000000000001E-2</v>
      </c>
      <c r="E8" t="s">
        <v>73</v>
      </c>
      <c r="F8">
        <v>0.16359702767125231</v>
      </c>
    </row>
    <row r="9" spans="1:16" ht="15" thickBot="1" x14ac:dyDescent="0.4">
      <c r="A9" s="3">
        <v>20</v>
      </c>
      <c r="B9" s="9">
        <v>8.3299999999999999E-2</v>
      </c>
      <c r="E9" t="s">
        <v>74</v>
      </c>
      <c r="F9">
        <v>2.6763987462868497E-2</v>
      </c>
    </row>
    <row r="10" spans="1:16" ht="15" thickBot="1" x14ac:dyDescent="0.4">
      <c r="A10" s="3">
        <v>9</v>
      </c>
      <c r="B10" s="9">
        <v>0.04</v>
      </c>
      <c r="E10" t="s">
        <v>75</v>
      </c>
      <c r="F10">
        <v>8.7410983418105045E-3</v>
      </c>
    </row>
    <row r="11" spans="1:16" ht="15" thickBot="1" x14ac:dyDescent="0.4">
      <c r="A11" s="3">
        <v>12</v>
      </c>
      <c r="B11" s="9">
        <v>0.3</v>
      </c>
      <c r="E11" t="s">
        <v>6</v>
      </c>
      <c r="F11">
        <v>9.3230251715350806E-2</v>
      </c>
    </row>
    <row r="12" spans="1:16" ht="15" thickBot="1" x14ac:dyDescent="0.4">
      <c r="A12" s="3">
        <v>14</v>
      </c>
      <c r="B12" s="9">
        <v>9.5200000000000007E-2</v>
      </c>
      <c r="E12" s="30" t="s">
        <v>76</v>
      </c>
      <c r="F12" s="30">
        <v>56</v>
      </c>
    </row>
    <row r="13" spans="1:16" ht="15" thickBot="1" x14ac:dyDescent="0.4">
      <c r="A13" s="3">
        <v>17</v>
      </c>
      <c r="B13" s="9">
        <v>8.5099999999999995E-2</v>
      </c>
    </row>
    <row r="14" spans="1:16" ht="15" thickBot="1" x14ac:dyDescent="0.4">
      <c r="A14" s="3">
        <v>12</v>
      </c>
      <c r="B14" s="9">
        <v>0.1429</v>
      </c>
      <c r="E14" t="s">
        <v>77</v>
      </c>
    </row>
    <row r="15" spans="1:16" ht="15" thickBot="1" x14ac:dyDescent="0.4">
      <c r="A15" s="3">
        <v>17</v>
      </c>
      <c r="B15" s="9">
        <v>2.0400000000000001E-2</v>
      </c>
      <c r="E15" s="31"/>
      <c r="F15" s="31" t="s">
        <v>82</v>
      </c>
      <c r="G15" s="31" t="s">
        <v>83</v>
      </c>
      <c r="H15" s="31" t="s">
        <v>84</v>
      </c>
      <c r="I15" s="31" t="s">
        <v>85</v>
      </c>
      <c r="J15" s="31" t="s">
        <v>86</v>
      </c>
      <c r="N15" s="31"/>
      <c r="O15" s="31"/>
      <c r="P15" s="31"/>
    </row>
    <row r="16" spans="1:16" ht="15" thickBot="1" x14ac:dyDescent="0.4">
      <c r="A16" s="3">
        <v>15</v>
      </c>
      <c r="B16" s="9">
        <v>9.7600000000000006E-2</v>
      </c>
      <c r="E16" t="s">
        <v>78</v>
      </c>
      <c r="F16">
        <v>1</v>
      </c>
      <c r="G16">
        <v>1.290744016498574E-2</v>
      </c>
      <c r="H16">
        <v>1.290744016498574E-2</v>
      </c>
      <c r="I16">
        <v>1.4849998400976336</v>
      </c>
      <c r="J16">
        <v>0.22829100977908307</v>
      </c>
    </row>
    <row r="17" spans="1:19" ht="15" thickBot="1" x14ac:dyDescent="0.4">
      <c r="A17" s="3">
        <v>13</v>
      </c>
      <c r="B17" s="9">
        <v>3.4500000000000003E-2</v>
      </c>
      <c r="E17" t="s">
        <v>79</v>
      </c>
      <c r="F17">
        <v>54</v>
      </c>
      <c r="G17">
        <v>0.46936151108501428</v>
      </c>
      <c r="H17">
        <v>8.6918798349076721E-3</v>
      </c>
    </row>
    <row r="18" spans="1:19" ht="15" thickBot="1" x14ac:dyDescent="0.4">
      <c r="A18" s="3">
        <v>11</v>
      </c>
      <c r="B18" s="9">
        <v>2.9399999999999999E-2</v>
      </c>
      <c r="E18" s="30" t="s">
        <v>80</v>
      </c>
      <c r="F18" s="30">
        <v>55</v>
      </c>
      <c r="G18" s="30">
        <v>0.48226895125000002</v>
      </c>
      <c r="H18" s="30"/>
      <c r="I18" s="30"/>
      <c r="J18" s="30"/>
      <c r="N18" s="30"/>
      <c r="O18" s="30"/>
      <c r="P18" s="30"/>
    </row>
    <row r="19" spans="1:19" ht="15" thickBot="1" x14ac:dyDescent="0.4">
      <c r="A19" s="3">
        <v>4</v>
      </c>
      <c r="B19" s="9">
        <v>0</v>
      </c>
    </row>
    <row r="20" spans="1:19" ht="15" thickBot="1" x14ac:dyDescent="0.4">
      <c r="A20" s="3">
        <v>12</v>
      </c>
      <c r="B20" s="9">
        <v>6.6699999999999995E-2</v>
      </c>
      <c r="E20" s="31"/>
      <c r="F20" s="31" t="s">
        <v>87</v>
      </c>
      <c r="G20" s="31" t="s">
        <v>6</v>
      </c>
      <c r="H20" s="31" t="s">
        <v>88</v>
      </c>
      <c r="I20" s="31" t="s">
        <v>89</v>
      </c>
      <c r="J20" s="31" t="s">
        <v>90</v>
      </c>
      <c r="K20" s="31" t="s">
        <v>91</v>
      </c>
      <c r="L20" s="31" t="s">
        <v>92</v>
      </c>
      <c r="M20" s="31" t="s">
        <v>93</v>
      </c>
      <c r="N20" s="31"/>
      <c r="O20" s="31"/>
      <c r="P20" s="31"/>
      <c r="Q20" s="31"/>
      <c r="R20" s="31"/>
      <c r="S20" s="31"/>
    </row>
    <row r="21" spans="1:19" ht="15" thickBot="1" x14ac:dyDescent="0.4">
      <c r="A21" s="3">
        <v>9</v>
      </c>
      <c r="B21" s="9">
        <v>9.3799999999999994E-2</v>
      </c>
      <c r="E21" t="s">
        <v>81</v>
      </c>
      <c r="F21">
        <v>0.13302005770544909</v>
      </c>
      <c r="G21">
        <v>4.5306648888297538E-2</v>
      </c>
      <c r="H21">
        <v>2.9359941856085374</v>
      </c>
      <c r="I21">
        <v>4.8764481451027174E-3</v>
      </c>
      <c r="J21">
        <v>4.2185695732092868E-2</v>
      </c>
      <c r="K21">
        <v>0.22385441967880532</v>
      </c>
      <c r="L21">
        <v>4.2185695732092868E-2</v>
      </c>
      <c r="M21">
        <v>0.22385441967880532</v>
      </c>
    </row>
    <row r="22" spans="1:19" ht="15" thickBot="1" x14ac:dyDescent="0.4">
      <c r="A22" s="3">
        <v>12</v>
      </c>
      <c r="B22" s="9">
        <v>0</v>
      </c>
      <c r="E22" s="30" t="s">
        <v>51</v>
      </c>
      <c r="F22" s="30">
        <v>-4.2771557287843865E-3</v>
      </c>
      <c r="G22" s="30">
        <v>3.5098766943479961E-3</v>
      </c>
      <c r="H22" s="30">
        <v>-1.2186056950866537</v>
      </c>
      <c r="I22" s="30">
        <v>0.22829100977908307</v>
      </c>
      <c r="J22" s="30">
        <v>-1.131403481737665E-2</v>
      </c>
      <c r="K22" s="30">
        <v>2.7597233598078766E-3</v>
      </c>
      <c r="L22" s="30">
        <v>-1.131403481737665E-2</v>
      </c>
      <c r="M22" s="30">
        <v>2.7597233598078766E-3</v>
      </c>
      <c r="N22" s="30"/>
      <c r="O22" s="30"/>
      <c r="P22" s="30"/>
      <c r="Q22" s="30"/>
      <c r="R22" s="30"/>
      <c r="S22" s="30"/>
    </row>
    <row r="23" spans="1:19" ht="15" thickBot="1" x14ac:dyDescent="0.4">
      <c r="A23" s="3">
        <v>13</v>
      </c>
      <c r="B23" s="9">
        <v>0</v>
      </c>
    </row>
    <row r="24" spans="1:19" ht="15" thickBot="1" x14ac:dyDescent="0.4">
      <c r="A24" s="3">
        <v>12</v>
      </c>
      <c r="B24" s="9">
        <v>0</v>
      </c>
    </row>
    <row r="25" spans="1:19" ht="15" thickBot="1" x14ac:dyDescent="0.4">
      <c r="A25" s="3">
        <v>11</v>
      </c>
      <c r="B25" s="9">
        <v>0.15790000000000001</v>
      </c>
    </row>
    <row r="26" spans="1:19" ht="15" thickBot="1" x14ac:dyDescent="0.4">
      <c r="A26" s="3">
        <v>9</v>
      </c>
      <c r="B26" s="9">
        <v>0.4194</v>
      </c>
    </row>
    <row r="27" spans="1:19" ht="15" thickBot="1" x14ac:dyDescent="0.4">
      <c r="A27" s="3">
        <v>5</v>
      </c>
      <c r="B27" s="9">
        <v>0.26669999999999999</v>
      </c>
    </row>
    <row r="28" spans="1:19" ht="15" thickBot="1" x14ac:dyDescent="0.4">
      <c r="A28" s="3">
        <v>18</v>
      </c>
      <c r="B28" s="9">
        <v>2.3300000000000001E-2</v>
      </c>
      <c r="K28" s="31"/>
      <c r="L28" s="31"/>
      <c r="M28" s="31"/>
    </row>
    <row r="29" spans="1:19" ht="15" thickBot="1" x14ac:dyDescent="0.4">
      <c r="A29" s="3">
        <v>15</v>
      </c>
      <c r="B29" s="9">
        <v>2.63E-2</v>
      </c>
    </row>
    <row r="30" spans="1:19" ht="15" thickBot="1" x14ac:dyDescent="0.4">
      <c r="A30" s="3">
        <v>11</v>
      </c>
      <c r="B30" s="9">
        <v>5.1299999999999998E-2</v>
      </c>
    </row>
    <row r="31" spans="1:19" ht="15" thickBot="1" x14ac:dyDescent="0.4">
      <c r="A31" s="3">
        <v>12</v>
      </c>
      <c r="B31" s="9">
        <v>9.0899999999999995E-2</v>
      </c>
    </row>
    <row r="32" spans="1:19" ht="15" thickBot="1" x14ac:dyDescent="0.4">
      <c r="A32" s="3">
        <v>11</v>
      </c>
      <c r="B32" s="9">
        <v>3.3300000000000003E-2</v>
      </c>
    </row>
    <row r="33" spans="1:2" ht="15" thickBot="1" x14ac:dyDescent="0.4">
      <c r="A33" s="3">
        <v>13</v>
      </c>
      <c r="B33" s="9">
        <v>0.2051</v>
      </c>
    </row>
    <row r="34" spans="1:2" ht="15" thickBot="1" x14ac:dyDescent="0.4">
      <c r="A34" s="3">
        <v>13</v>
      </c>
      <c r="B34" s="9">
        <v>0</v>
      </c>
    </row>
    <row r="35" spans="1:2" ht="15" thickBot="1" x14ac:dyDescent="0.4">
      <c r="A35" s="3">
        <v>13</v>
      </c>
      <c r="B35" s="9">
        <v>6.5199999999999994E-2</v>
      </c>
    </row>
    <row r="36" spans="1:2" ht="15" thickBot="1" x14ac:dyDescent="0.4">
      <c r="A36" s="3">
        <v>12</v>
      </c>
      <c r="B36" s="9">
        <v>0</v>
      </c>
    </row>
    <row r="37" spans="1:2" ht="15" thickBot="1" x14ac:dyDescent="0.4">
      <c r="A37" s="3">
        <v>17</v>
      </c>
      <c r="B37" s="9">
        <v>1.9199999999999998E-2</v>
      </c>
    </row>
    <row r="38" spans="1:2" ht="15" thickBot="1" x14ac:dyDescent="0.4">
      <c r="A38" s="3">
        <v>9</v>
      </c>
      <c r="B38" s="9">
        <v>0</v>
      </c>
    </row>
    <row r="39" spans="1:2" ht="15" thickBot="1" x14ac:dyDescent="0.4">
      <c r="A39" s="3">
        <v>13</v>
      </c>
      <c r="B39" s="9">
        <v>2.4400000000000002E-2</v>
      </c>
    </row>
    <row r="40" spans="1:2" ht="15" thickBot="1" x14ac:dyDescent="0.4">
      <c r="A40" s="3">
        <v>8</v>
      </c>
      <c r="B40" s="9">
        <v>0</v>
      </c>
    </row>
    <row r="41" spans="1:2" ht="15" thickBot="1" x14ac:dyDescent="0.4">
      <c r="A41" s="3">
        <v>10</v>
      </c>
      <c r="B41" s="9">
        <v>0.33329999999999999</v>
      </c>
    </row>
    <row r="42" spans="1:2" ht="15" thickBot="1" x14ac:dyDescent="0.4">
      <c r="A42" s="3">
        <v>13</v>
      </c>
      <c r="B42" s="9">
        <v>0</v>
      </c>
    </row>
    <row r="43" spans="1:2" ht="15" thickBot="1" x14ac:dyDescent="0.4">
      <c r="A43" s="3">
        <v>16</v>
      </c>
      <c r="B43" s="9">
        <v>7.1400000000000005E-2</v>
      </c>
    </row>
    <row r="44" spans="1:2" ht="15" thickBot="1" x14ac:dyDescent="0.4">
      <c r="A44" s="3">
        <v>14</v>
      </c>
      <c r="B44" s="9">
        <v>2.63E-2</v>
      </c>
    </row>
    <row r="45" spans="1:2" ht="15" thickBot="1" x14ac:dyDescent="0.4">
      <c r="A45" s="3">
        <v>14</v>
      </c>
      <c r="B45" s="9">
        <v>2.0799999999999999E-2</v>
      </c>
    </row>
    <row r="46" spans="1:2" ht="15" thickBot="1" x14ac:dyDescent="0.4">
      <c r="A46" s="3">
        <v>17</v>
      </c>
      <c r="B46" s="9">
        <v>0.2</v>
      </c>
    </row>
    <row r="47" spans="1:2" ht="15" thickBot="1" x14ac:dyDescent="0.4">
      <c r="A47" s="3">
        <v>7</v>
      </c>
      <c r="B47" s="9">
        <v>0</v>
      </c>
    </row>
    <row r="48" spans="1:2" ht="15" thickBot="1" x14ac:dyDescent="0.4">
      <c r="A48" s="3">
        <v>16</v>
      </c>
      <c r="B48" s="9">
        <v>2.0799999999999999E-2</v>
      </c>
    </row>
    <row r="49" spans="1:2" ht="15" thickBot="1" x14ac:dyDescent="0.4">
      <c r="A49" s="3">
        <v>14</v>
      </c>
      <c r="B49" s="9">
        <v>9.0899999999999995E-2</v>
      </c>
    </row>
    <row r="50" spans="1:2" ht="15" thickBot="1" x14ac:dyDescent="0.4">
      <c r="A50" s="3">
        <v>5</v>
      </c>
      <c r="B50" s="9">
        <v>0</v>
      </c>
    </row>
    <row r="51" spans="1:2" ht="15" thickBot="1" x14ac:dyDescent="0.4">
      <c r="A51" s="3">
        <v>16</v>
      </c>
      <c r="B51" s="9">
        <v>4.0800000000000003E-2</v>
      </c>
    </row>
    <row r="52" spans="1:2" ht="15" thickBot="1" x14ac:dyDescent="0.4">
      <c r="A52" s="3">
        <v>5</v>
      </c>
      <c r="B52" s="9">
        <v>8.6999999999999994E-2</v>
      </c>
    </row>
    <row r="53" spans="1:2" ht="15" thickBot="1" x14ac:dyDescent="0.4">
      <c r="A53" s="3">
        <v>12</v>
      </c>
      <c r="B53" s="9">
        <v>3.2300000000000002E-2</v>
      </c>
    </row>
    <row r="54" spans="1:2" ht="15" thickBot="1" x14ac:dyDescent="0.4">
      <c r="A54" s="3">
        <v>10</v>
      </c>
      <c r="B54" s="9">
        <v>3.5700000000000003E-2</v>
      </c>
    </row>
    <row r="55" spans="1:2" ht="15" thickBot="1" x14ac:dyDescent="0.4">
      <c r="A55" s="3">
        <v>11</v>
      </c>
      <c r="B55" s="9">
        <v>0.20749999999999999</v>
      </c>
    </row>
    <row r="56" spans="1:2" ht="15" thickBot="1" x14ac:dyDescent="0.4">
      <c r="A56" s="3">
        <v>19</v>
      </c>
      <c r="B56" s="9">
        <v>2.2700000000000001E-2</v>
      </c>
    </row>
    <row r="57" spans="1:2" ht="15" thickBot="1" x14ac:dyDescent="0.4">
      <c r="A57" s="3">
        <v>10</v>
      </c>
      <c r="B57" s="9">
        <v>0.1081</v>
      </c>
    </row>
    <row r="84" spans="11:13" ht="15" thickBot="1" x14ac:dyDescent="0.4">
      <c r="K84" s="30"/>
      <c r="L84" s="30"/>
      <c r="M84" s="3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9B68-E65A-4DE4-B84C-2CEF88142172}">
  <dimension ref="A1:M58"/>
  <sheetViews>
    <sheetView workbookViewId="0">
      <selection activeCell="N6" sqref="N6"/>
    </sheetView>
  </sheetViews>
  <sheetFormatPr defaultRowHeight="14.5" x14ac:dyDescent="0.35"/>
  <cols>
    <col min="5" max="5" width="17.26953125" bestFit="1" customWidth="1"/>
    <col min="6" max="6" width="11.81640625" bestFit="1" customWidth="1"/>
    <col min="7" max="7" width="13.54296875" bestFit="1" customWidth="1"/>
    <col min="12" max="12" width="7.90625" bestFit="1" customWidth="1"/>
  </cols>
  <sheetData>
    <row r="1" spans="1:13" ht="39.5" thickBot="1" x14ac:dyDescent="0.4">
      <c r="A1" s="29" t="s">
        <v>70</v>
      </c>
      <c r="B1" s="25" t="s">
        <v>3</v>
      </c>
    </row>
    <row r="2" spans="1:13" ht="26.5" thickBot="1" x14ac:dyDescent="0.4">
      <c r="A2">
        <v>1</v>
      </c>
      <c r="B2" s="9">
        <v>0.20449999999999999</v>
      </c>
      <c r="L2" s="25" t="s">
        <v>56</v>
      </c>
      <c r="M2" s="25" t="s">
        <v>3</v>
      </c>
    </row>
    <row r="3" spans="1:13" ht="15" thickBot="1" x14ac:dyDescent="0.4">
      <c r="A3">
        <v>0</v>
      </c>
      <c r="B3" s="9">
        <v>0.23080000000000001</v>
      </c>
      <c r="L3" s="24" t="s">
        <v>57</v>
      </c>
      <c r="M3" s="9">
        <v>0.20449999999999999</v>
      </c>
    </row>
    <row r="4" spans="1:13" ht="15" thickBot="1" x14ac:dyDescent="0.4">
      <c r="A4">
        <v>0</v>
      </c>
      <c r="B4" s="9">
        <v>3.85E-2</v>
      </c>
      <c r="L4" s="24" t="s">
        <v>58</v>
      </c>
      <c r="M4" s="9">
        <v>0.23080000000000001</v>
      </c>
    </row>
    <row r="5" spans="1:13" ht="15" thickBot="1" x14ac:dyDescent="0.4">
      <c r="A5">
        <v>0</v>
      </c>
      <c r="B5" s="9">
        <v>0.1026</v>
      </c>
      <c r="E5" t="s">
        <v>71</v>
      </c>
      <c r="L5" s="24" t="s">
        <v>58</v>
      </c>
      <c r="M5" s="9">
        <v>3.85E-2</v>
      </c>
    </row>
    <row r="6" spans="1:13" ht="15" thickBot="1" x14ac:dyDescent="0.4">
      <c r="A6">
        <v>0</v>
      </c>
      <c r="B6" s="9">
        <v>7.4999999999999997E-2</v>
      </c>
      <c r="L6" s="24" t="s">
        <v>58</v>
      </c>
      <c r="M6" s="9">
        <v>0.1026</v>
      </c>
    </row>
    <row r="7" spans="1:13" ht="15" thickBot="1" x14ac:dyDescent="0.4">
      <c r="A7">
        <v>1</v>
      </c>
      <c r="B7" s="9">
        <v>3.2300000000000002E-2</v>
      </c>
      <c r="E7" s="5" t="s">
        <v>72</v>
      </c>
      <c r="F7" s="5"/>
      <c r="L7" s="24" t="s">
        <v>58</v>
      </c>
      <c r="M7" s="9">
        <v>7.4999999999999997E-2</v>
      </c>
    </row>
    <row r="8" spans="1:13" ht="15" thickBot="1" x14ac:dyDescent="0.4">
      <c r="A8">
        <v>1</v>
      </c>
      <c r="B8" s="9">
        <v>2.3300000000000001E-2</v>
      </c>
      <c r="E8" t="s">
        <v>73</v>
      </c>
      <c r="F8">
        <v>0.28408095233436681</v>
      </c>
      <c r="L8" s="24" t="s">
        <v>57</v>
      </c>
      <c r="M8" s="9">
        <v>3.2300000000000002E-2</v>
      </c>
    </row>
    <row r="9" spans="1:13" ht="15" thickBot="1" x14ac:dyDescent="0.4">
      <c r="A9">
        <v>1</v>
      </c>
      <c r="B9" s="9">
        <v>8.3299999999999999E-2</v>
      </c>
      <c r="E9" t="s">
        <v>74</v>
      </c>
      <c r="F9">
        <v>8.0701987479200793E-2</v>
      </c>
      <c r="L9" s="24" t="s">
        <v>57</v>
      </c>
      <c r="M9" s="9">
        <v>2.3300000000000001E-2</v>
      </c>
    </row>
    <row r="10" spans="1:13" ht="15" thickBot="1" x14ac:dyDescent="0.4">
      <c r="A10">
        <v>0</v>
      </c>
      <c r="B10" s="9">
        <v>0.04</v>
      </c>
      <c r="E10" t="s">
        <v>75</v>
      </c>
      <c r="F10">
        <v>6.367795021029711E-2</v>
      </c>
      <c r="L10" s="24" t="s">
        <v>57</v>
      </c>
      <c r="M10" s="9">
        <v>8.3299999999999999E-2</v>
      </c>
    </row>
    <row r="11" spans="1:13" ht="15" thickBot="1" x14ac:dyDescent="0.4">
      <c r="A11">
        <v>1</v>
      </c>
      <c r="B11" s="9">
        <v>0.3</v>
      </c>
      <c r="E11" t="s">
        <v>6</v>
      </c>
      <c r="F11">
        <v>9.0609958612257929E-2</v>
      </c>
      <c r="L11" s="24" t="s">
        <v>58</v>
      </c>
      <c r="M11" s="9">
        <v>0.04</v>
      </c>
    </row>
    <row r="12" spans="1:13" ht="15" thickBot="1" x14ac:dyDescent="0.4">
      <c r="A12">
        <v>0</v>
      </c>
      <c r="B12" s="9">
        <v>9.5200000000000007E-2</v>
      </c>
      <c r="E12" s="30" t="s">
        <v>76</v>
      </c>
      <c r="F12" s="30">
        <v>56</v>
      </c>
      <c r="L12" s="24" t="s">
        <v>57</v>
      </c>
      <c r="M12" s="9">
        <v>0.3</v>
      </c>
    </row>
    <row r="13" spans="1:13" ht="15" thickBot="1" x14ac:dyDescent="0.4">
      <c r="A13">
        <v>1</v>
      </c>
      <c r="B13" s="9">
        <v>8.5099999999999995E-2</v>
      </c>
      <c r="L13" s="24" t="s">
        <v>58</v>
      </c>
      <c r="M13" s="9">
        <v>9.5200000000000007E-2</v>
      </c>
    </row>
    <row r="14" spans="1:13" ht="15" thickBot="1" x14ac:dyDescent="0.4">
      <c r="A14">
        <v>1</v>
      </c>
      <c r="B14" s="9">
        <v>0.1429</v>
      </c>
      <c r="E14" t="s">
        <v>77</v>
      </c>
      <c r="L14" s="24" t="s">
        <v>57</v>
      </c>
      <c r="M14" s="9">
        <v>8.5099999999999995E-2</v>
      </c>
    </row>
    <row r="15" spans="1:13" ht="15" thickBot="1" x14ac:dyDescent="0.4">
      <c r="A15">
        <v>0</v>
      </c>
      <c r="B15" s="9">
        <v>2.0400000000000001E-2</v>
      </c>
      <c r="E15" s="31"/>
      <c r="F15" s="31" t="s">
        <v>82</v>
      </c>
      <c r="G15" s="31" t="s">
        <v>83</v>
      </c>
      <c r="H15" s="31" t="s">
        <v>84</v>
      </c>
      <c r="I15" s="31" t="s">
        <v>85</v>
      </c>
      <c r="J15" s="31" t="s">
        <v>86</v>
      </c>
      <c r="L15" s="24" t="s">
        <v>57</v>
      </c>
      <c r="M15" s="9">
        <v>0.1429</v>
      </c>
    </row>
    <row r="16" spans="1:13" ht="15" thickBot="1" x14ac:dyDescent="0.4">
      <c r="A16">
        <v>1</v>
      </c>
      <c r="B16" s="9">
        <v>9.7600000000000006E-2</v>
      </c>
      <c r="E16" t="s">
        <v>78</v>
      </c>
      <c r="F16">
        <v>1</v>
      </c>
      <c r="G16">
        <v>3.8920062865384797E-2</v>
      </c>
      <c r="H16">
        <v>3.8920062865384797E-2</v>
      </c>
      <c r="I16">
        <v>4.7404729092441551</v>
      </c>
      <c r="J16">
        <v>3.3850379416430619E-2</v>
      </c>
      <c r="L16" s="24" t="s">
        <v>58</v>
      </c>
      <c r="M16" s="9">
        <v>2.0400000000000001E-2</v>
      </c>
    </row>
    <row r="17" spans="1:13" ht="15" thickBot="1" x14ac:dyDescent="0.4">
      <c r="A17">
        <v>0</v>
      </c>
      <c r="B17" s="9">
        <v>3.4500000000000003E-2</v>
      </c>
      <c r="E17" t="s">
        <v>79</v>
      </c>
      <c r="F17">
        <v>54</v>
      </c>
      <c r="G17">
        <v>0.44334888838461523</v>
      </c>
      <c r="H17">
        <v>8.210164599715096E-3</v>
      </c>
      <c r="L17" s="24" t="s">
        <v>57</v>
      </c>
      <c r="M17" s="9">
        <v>9.7600000000000006E-2</v>
      </c>
    </row>
    <row r="18" spans="1:13" ht="15" thickBot="1" x14ac:dyDescent="0.4">
      <c r="A18">
        <v>1</v>
      </c>
      <c r="B18" s="9">
        <v>2.9399999999999999E-2</v>
      </c>
      <c r="E18" s="30" t="s">
        <v>80</v>
      </c>
      <c r="F18" s="30">
        <v>55</v>
      </c>
      <c r="G18" s="30">
        <v>0.48226895125000002</v>
      </c>
      <c r="H18" s="30"/>
      <c r="I18" s="30"/>
      <c r="J18" s="30"/>
      <c r="L18" s="24" t="s">
        <v>58</v>
      </c>
      <c r="M18" s="9">
        <v>3.4500000000000003E-2</v>
      </c>
    </row>
    <row r="19" spans="1:13" ht="15" thickBot="1" x14ac:dyDescent="0.4">
      <c r="A19">
        <v>0</v>
      </c>
      <c r="B19" s="9">
        <v>0</v>
      </c>
      <c r="L19" s="24" t="s">
        <v>57</v>
      </c>
      <c r="M19" s="9">
        <v>2.9399999999999999E-2</v>
      </c>
    </row>
    <row r="20" spans="1:13" ht="15" thickBot="1" x14ac:dyDescent="0.4">
      <c r="A20">
        <v>1</v>
      </c>
      <c r="B20" s="9">
        <v>6.6699999999999995E-2</v>
      </c>
      <c r="E20" s="31"/>
      <c r="F20" s="31" t="s">
        <v>87</v>
      </c>
      <c r="G20" s="31" t="s">
        <v>6</v>
      </c>
      <c r="H20" s="31" t="s">
        <v>88</v>
      </c>
      <c r="I20" s="31" t="s">
        <v>89</v>
      </c>
      <c r="J20" s="31" t="s">
        <v>90</v>
      </c>
      <c r="K20" s="31" t="s">
        <v>91</v>
      </c>
      <c r="L20" s="24" t="s">
        <v>58</v>
      </c>
      <c r="M20" s="9">
        <v>0</v>
      </c>
    </row>
    <row r="21" spans="1:13" ht="15" thickBot="1" x14ac:dyDescent="0.4">
      <c r="A21">
        <v>0</v>
      </c>
      <c r="B21" s="9">
        <v>9.3799999999999994E-2</v>
      </c>
      <c r="E21" t="s">
        <v>81</v>
      </c>
      <c r="F21">
        <v>5.1619230769230771E-2</v>
      </c>
      <c r="G21">
        <v>1.7770074888066843E-2</v>
      </c>
      <c r="H21">
        <v>2.9048403619218672</v>
      </c>
      <c r="I21">
        <v>5.3151447654182201E-3</v>
      </c>
      <c r="J21">
        <v>1.5992375676594839E-2</v>
      </c>
      <c r="K21">
        <v>8.7246085861866704E-2</v>
      </c>
      <c r="L21" s="24" t="s">
        <v>57</v>
      </c>
      <c r="M21" s="9">
        <v>6.6699999999999995E-2</v>
      </c>
    </row>
    <row r="22" spans="1:13" ht="15" thickBot="1" x14ac:dyDescent="0.4">
      <c r="A22">
        <v>0</v>
      </c>
      <c r="B22" s="9">
        <v>0</v>
      </c>
      <c r="E22" s="30" t="s">
        <v>70</v>
      </c>
      <c r="F22" s="30">
        <v>5.2860769230769246E-2</v>
      </c>
      <c r="G22" s="30">
        <v>2.4278544331391455E-2</v>
      </c>
      <c r="H22" s="30">
        <v>2.177262710203832</v>
      </c>
      <c r="I22" s="30">
        <v>3.385037941643098E-2</v>
      </c>
      <c r="J22" s="30">
        <v>4.1852185534069428E-3</v>
      </c>
      <c r="K22" s="30">
        <v>0.10153631990813156</v>
      </c>
      <c r="L22" s="24" t="s">
        <v>58</v>
      </c>
      <c r="M22" s="9">
        <v>9.3799999999999994E-2</v>
      </c>
    </row>
    <row r="23" spans="1:13" ht="15" thickBot="1" x14ac:dyDescent="0.4">
      <c r="A23">
        <v>1</v>
      </c>
      <c r="B23" s="9">
        <v>0</v>
      </c>
      <c r="L23" s="24" t="s">
        <v>58</v>
      </c>
      <c r="M23" s="9">
        <v>0</v>
      </c>
    </row>
    <row r="24" spans="1:13" ht="15" thickBot="1" x14ac:dyDescent="0.4">
      <c r="A24">
        <v>1</v>
      </c>
      <c r="B24" s="9">
        <v>0</v>
      </c>
      <c r="L24" s="24" t="s">
        <v>57</v>
      </c>
      <c r="M24" s="9">
        <v>0</v>
      </c>
    </row>
    <row r="25" spans="1:13" ht="15" thickBot="1" x14ac:dyDescent="0.4">
      <c r="A25">
        <v>0</v>
      </c>
      <c r="B25" s="9">
        <v>0.15790000000000001</v>
      </c>
      <c r="L25" s="24" t="s">
        <v>57</v>
      </c>
      <c r="M25" s="9">
        <v>0</v>
      </c>
    </row>
    <row r="26" spans="1:13" ht="15" thickBot="1" x14ac:dyDescent="0.4">
      <c r="A26">
        <v>1</v>
      </c>
      <c r="B26" s="9">
        <v>0.4194</v>
      </c>
      <c r="L26" s="24" t="s">
        <v>58</v>
      </c>
      <c r="M26" s="9">
        <v>0.15790000000000001</v>
      </c>
    </row>
    <row r="27" spans="1:13" ht="15" thickBot="1" x14ac:dyDescent="0.4">
      <c r="A27">
        <v>1</v>
      </c>
      <c r="B27" s="9">
        <v>0.26669999999999999</v>
      </c>
      <c r="L27" s="24" t="s">
        <v>57</v>
      </c>
      <c r="M27" s="9">
        <v>0.4194</v>
      </c>
    </row>
    <row r="28" spans="1:13" ht="15" thickBot="1" x14ac:dyDescent="0.4">
      <c r="A28">
        <v>0</v>
      </c>
      <c r="B28" s="9">
        <v>2.3300000000000001E-2</v>
      </c>
      <c r="L28" s="24" t="s">
        <v>57</v>
      </c>
      <c r="M28" s="9">
        <v>0.26669999999999999</v>
      </c>
    </row>
    <row r="29" spans="1:13" ht="15" thickBot="1" x14ac:dyDescent="0.4">
      <c r="A29">
        <v>1</v>
      </c>
      <c r="B29" s="9">
        <v>2.63E-2</v>
      </c>
      <c r="L29" s="24" t="s">
        <v>58</v>
      </c>
      <c r="M29" s="9">
        <v>2.3300000000000001E-2</v>
      </c>
    </row>
    <row r="30" spans="1:13" ht="15" thickBot="1" x14ac:dyDescent="0.4">
      <c r="A30">
        <v>0</v>
      </c>
      <c r="B30" s="9">
        <v>5.1299999999999998E-2</v>
      </c>
      <c r="L30" s="24" t="s">
        <v>57</v>
      </c>
      <c r="M30" s="9">
        <v>2.63E-2</v>
      </c>
    </row>
    <row r="31" spans="1:13" ht="15" thickBot="1" x14ac:dyDescent="0.4">
      <c r="A31">
        <v>1</v>
      </c>
      <c r="B31" s="9">
        <v>9.0899999999999995E-2</v>
      </c>
      <c r="L31" s="24" t="s">
        <v>58</v>
      </c>
      <c r="M31" s="9">
        <v>5.1299999999999998E-2</v>
      </c>
    </row>
    <row r="32" spans="1:13" ht="15" thickBot="1" x14ac:dyDescent="0.4">
      <c r="A32">
        <v>0</v>
      </c>
      <c r="B32" s="9">
        <v>3.3300000000000003E-2</v>
      </c>
      <c r="L32" s="24" t="s">
        <v>57</v>
      </c>
      <c r="M32" s="9">
        <v>9.0899999999999995E-2</v>
      </c>
    </row>
    <row r="33" spans="1:13" ht="15" thickBot="1" x14ac:dyDescent="0.4">
      <c r="A33">
        <v>1</v>
      </c>
      <c r="B33" s="9">
        <v>0.2051</v>
      </c>
      <c r="L33" s="24" t="s">
        <v>58</v>
      </c>
      <c r="M33" s="9">
        <v>3.3300000000000003E-2</v>
      </c>
    </row>
    <row r="34" spans="1:13" ht="15" thickBot="1" x14ac:dyDescent="0.4">
      <c r="A34">
        <v>0</v>
      </c>
      <c r="B34" s="9">
        <v>0</v>
      </c>
      <c r="L34" s="24" t="s">
        <v>57</v>
      </c>
      <c r="M34" s="9">
        <v>0.2051</v>
      </c>
    </row>
    <row r="35" spans="1:13" ht="15" thickBot="1" x14ac:dyDescent="0.4">
      <c r="A35">
        <v>0</v>
      </c>
      <c r="B35" s="9">
        <v>6.5199999999999994E-2</v>
      </c>
      <c r="L35" s="24" t="s">
        <v>58</v>
      </c>
      <c r="M35" s="9">
        <v>0</v>
      </c>
    </row>
    <row r="36" spans="1:13" ht="15" thickBot="1" x14ac:dyDescent="0.4">
      <c r="A36">
        <v>1</v>
      </c>
      <c r="B36" s="9">
        <v>0</v>
      </c>
      <c r="L36" s="24" t="s">
        <v>58</v>
      </c>
      <c r="M36" s="9">
        <v>6.5199999999999994E-2</v>
      </c>
    </row>
    <row r="37" spans="1:13" ht="15" thickBot="1" x14ac:dyDescent="0.4">
      <c r="A37">
        <v>1</v>
      </c>
      <c r="B37" s="9">
        <v>1.9199999999999998E-2</v>
      </c>
      <c r="L37" s="24" t="s">
        <v>57</v>
      </c>
      <c r="M37" s="9">
        <v>0</v>
      </c>
    </row>
    <row r="38" spans="1:13" ht="15" thickBot="1" x14ac:dyDescent="0.4">
      <c r="A38">
        <v>0</v>
      </c>
      <c r="B38" s="9">
        <v>0</v>
      </c>
      <c r="L38" s="24" t="s">
        <v>57</v>
      </c>
      <c r="M38" s="9">
        <v>1.9199999999999998E-2</v>
      </c>
    </row>
    <row r="39" spans="1:13" ht="15" thickBot="1" x14ac:dyDescent="0.4">
      <c r="A39">
        <v>1</v>
      </c>
      <c r="B39" s="9">
        <v>2.4400000000000002E-2</v>
      </c>
      <c r="L39" s="24" t="s">
        <v>58</v>
      </c>
      <c r="M39" s="9">
        <v>0</v>
      </c>
    </row>
    <row r="40" spans="1:13" ht="15" thickBot="1" x14ac:dyDescent="0.4">
      <c r="A40">
        <v>0</v>
      </c>
      <c r="B40" s="9">
        <v>0</v>
      </c>
      <c r="L40" s="24" t="s">
        <v>57</v>
      </c>
      <c r="M40" s="9">
        <v>2.4400000000000002E-2</v>
      </c>
    </row>
    <row r="41" spans="1:13" ht="15" thickBot="1" x14ac:dyDescent="0.4">
      <c r="A41">
        <v>1</v>
      </c>
      <c r="B41" s="9">
        <v>0.33329999999999999</v>
      </c>
      <c r="L41" s="24" t="s">
        <v>58</v>
      </c>
      <c r="M41" s="9">
        <v>0</v>
      </c>
    </row>
    <row r="42" spans="1:13" ht="15" thickBot="1" x14ac:dyDescent="0.4">
      <c r="A42">
        <v>0</v>
      </c>
      <c r="B42" s="9">
        <v>0</v>
      </c>
      <c r="L42" s="24" t="s">
        <v>57</v>
      </c>
      <c r="M42" s="9">
        <v>0.33329999999999999</v>
      </c>
    </row>
    <row r="43" spans="1:13" ht="15" thickBot="1" x14ac:dyDescent="0.4">
      <c r="A43">
        <v>1</v>
      </c>
      <c r="B43" s="9">
        <v>7.1400000000000005E-2</v>
      </c>
      <c r="L43" s="24" t="s">
        <v>58</v>
      </c>
      <c r="M43" s="9">
        <v>0</v>
      </c>
    </row>
    <row r="44" spans="1:13" ht="15" thickBot="1" x14ac:dyDescent="0.4">
      <c r="A44">
        <v>0</v>
      </c>
      <c r="B44" s="9">
        <v>2.63E-2</v>
      </c>
      <c r="L44" s="24" t="s">
        <v>57</v>
      </c>
      <c r="M44" s="9">
        <v>7.1400000000000005E-2</v>
      </c>
    </row>
    <row r="45" spans="1:13" ht="15" thickBot="1" x14ac:dyDescent="0.4">
      <c r="A45">
        <v>1</v>
      </c>
      <c r="B45" s="9">
        <v>2.0799999999999999E-2</v>
      </c>
      <c r="L45" s="24" t="s">
        <v>58</v>
      </c>
      <c r="M45" s="9">
        <v>2.63E-2</v>
      </c>
    </row>
    <row r="46" spans="1:13" ht="15" thickBot="1" x14ac:dyDescent="0.4">
      <c r="A46">
        <v>1</v>
      </c>
      <c r="B46" s="9">
        <v>0.2</v>
      </c>
      <c r="L46" s="24" t="s">
        <v>57</v>
      </c>
      <c r="M46" s="9">
        <v>2.0799999999999999E-2</v>
      </c>
    </row>
    <row r="47" spans="1:13" ht="15" thickBot="1" x14ac:dyDescent="0.4">
      <c r="A47">
        <v>0</v>
      </c>
      <c r="B47" s="9">
        <v>0</v>
      </c>
      <c r="L47" s="24" t="s">
        <v>57</v>
      </c>
      <c r="M47" s="9">
        <v>0.2</v>
      </c>
    </row>
    <row r="48" spans="1:13" ht="15" thickBot="1" x14ac:dyDescent="0.4">
      <c r="A48">
        <v>1</v>
      </c>
      <c r="B48" s="9">
        <v>2.0799999999999999E-2</v>
      </c>
      <c r="L48" s="24" t="s">
        <v>58</v>
      </c>
      <c r="M48" s="9">
        <v>0</v>
      </c>
    </row>
    <row r="49" spans="1:13" ht="15" thickBot="1" x14ac:dyDescent="0.4">
      <c r="A49">
        <v>0</v>
      </c>
      <c r="B49" s="9">
        <v>9.0899999999999995E-2</v>
      </c>
      <c r="L49" s="24" t="s">
        <v>57</v>
      </c>
      <c r="M49" s="9">
        <v>2.0799999999999999E-2</v>
      </c>
    </row>
    <row r="50" spans="1:13" ht="15" thickBot="1" x14ac:dyDescent="0.4">
      <c r="A50">
        <v>1</v>
      </c>
      <c r="B50" s="9">
        <v>0</v>
      </c>
      <c r="L50" s="24" t="s">
        <v>58</v>
      </c>
      <c r="M50" s="9">
        <v>9.0899999999999995E-2</v>
      </c>
    </row>
    <row r="51" spans="1:13" ht="15" thickBot="1" x14ac:dyDescent="0.4">
      <c r="A51">
        <v>1</v>
      </c>
      <c r="B51" s="9">
        <v>4.0800000000000003E-2</v>
      </c>
      <c r="L51" s="24" t="s">
        <v>57</v>
      </c>
      <c r="M51" s="9">
        <v>0</v>
      </c>
    </row>
    <row r="52" spans="1:13" ht="15" thickBot="1" x14ac:dyDescent="0.4">
      <c r="A52">
        <v>1</v>
      </c>
      <c r="B52" s="9">
        <v>8.6999999999999994E-2</v>
      </c>
      <c r="L52" s="24" t="s">
        <v>57</v>
      </c>
      <c r="M52" s="9">
        <v>4.0800000000000003E-2</v>
      </c>
    </row>
    <row r="53" spans="1:13" ht="15" thickBot="1" x14ac:dyDescent="0.4">
      <c r="A53">
        <v>0</v>
      </c>
      <c r="B53" s="9">
        <v>3.2300000000000002E-2</v>
      </c>
      <c r="L53" s="24" t="s">
        <v>57</v>
      </c>
      <c r="M53" s="9">
        <v>8.6999999999999994E-2</v>
      </c>
    </row>
    <row r="54" spans="1:13" ht="15" thickBot="1" x14ac:dyDescent="0.4">
      <c r="A54">
        <v>1</v>
      </c>
      <c r="B54" s="9">
        <v>3.5700000000000003E-2</v>
      </c>
      <c r="L54" s="24" t="s">
        <v>58</v>
      </c>
      <c r="M54" s="9">
        <v>3.2300000000000002E-2</v>
      </c>
    </row>
    <row r="55" spans="1:13" ht="15" thickBot="1" x14ac:dyDescent="0.4">
      <c r="A55">
        <v>1</v>
      </c>
      <c r="B55" s="9">
        <v>0.20749999999999999</v>
      </c>
      <c r="L55" s="24" t="s">
        <v>57</v>
      </c>
      <c r="M55" s="9">
        <v>3.5700000000000003E-2</v>
      </c>
    </row>
    <row r="56" spans="1:13" ht="15" thickBot="1" x14ac:dyDescent="0.4">
      <c r="A56">
        <v>0</v>
      </c>
      <c r="B56" s="9">
        <v>2.2700000000000001E-2</v>
      </c>
      <c r="L56" s="24" t="s">
        <v>57</v>
      </c>
      <c r="M56" s="9">
        <v>0.20749999999999999</v>
      </c>
    </row>
    <row r="57" spans="1:13" ht="15" thickBot="1" x14ac:dyDescent="0.4">
      <c r="A57">
        <v>0</v>
      </c>
      <c r="B57" s="9">
        <v>0.1081</v>
      </c>
      <c r="L57" s="24" t="s">
        <v>58</v>
      </c>
      <c r="M57" s="9">
        <v>2.2700000000000001E-2</v>
      </c>
    </row>
    <row r="58" spans="1:13" ht="15" thickBot="1" x14ac:dyDescent="0.4">
      <c r="L58" s="24" t="s">
        <v>58</v>
      </c>
      <c r="M58" s="9">
        <v>0.1081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BA45-3082-45BC-B0FC-177722E5A9AE}">
  <dimension ref="B1:O57"/>
  <sheetViews>
    <sheetView workbookViewId="0"/>
  </sheetViews>
  <sheetFormatPr defaultRowHeight="14.5" x14ac:dyDescent="0.35"/>
  <cols>
    <col min="2" max="2" width="11.1796875" bestFit="1" customWidth="1"/>
    <col min="3" max="3" width="16.6328125" bestFit="1" customWidth="1"/>
    <col min="4" max="4" width="14" customWidth="1"/>
  </cols>
  <sheetData>
    <row r="1" spans="2:4" ht="15" thickBot="1" x14ac:dyDescent="0.4">
      <c r="B1" s="25" t="s">
        <v>62</v>
      </c>
      <c r="C1" s="6" t="s">
        <v>63</v>
      </c>
      <c r="D1" s="25" t="s">
        <v>3</v>
      </c>
    </row>
    <row r="2" spans="2:4" ht="15" thickBot="1" x14ac:dyDescent="0.4">
      <c r="B2" s="3">
        <v>2</v>
      </c>
      <c r="C2" t="s">
        <v>65</v>
      </c>
      <c r="D2" s="9">
        <v>0.20449999999999999</v>
      </c>
    </row>
    <row r="3" spans="2:4" ht="15" thickBot="1" x14ac:dyDescent="0.4">
      <c r="B3" s="3">
        <v>2</v>
      </c>
      <c r="C3" t="s">
        <v>65</v>
      </c>
      <c r="D3" s="9">
        <v>0.23080000000000001</v>
      </c>
    </row>
    <row r="4" spans="2:4" ht="15" thickBot="1" x14ac:dyDescent="0.4">
      <c r="B4" s="3">
        <v>1</v>
      </c>
      <c r="C4" t="s">
        <v>64</v>
      </c>
      <c r="D4" s="9">
        <v>3.85E-2</v>
      </c>
    </row>
    <row r="5" spans="2:4" ht="15" thickBot="1" x14ac:dyDescent="0.4">
      <c r="B5" s="3">
        <v>3</v>
      </c>
      <c r="C5" t="s">
        <v>66</v>
      </c>
      <c r="D5" s="9">
        <v>0.1026</v>
      </c>
    </row>
    <row r="6" spans="2:4" ht="15" thickBot="1" x14ac:dyDescent="0.4">
      <c r="B6" s="3">
        <v>3</v>
      </c>
      <c r="C6" t="s">
        <v>66</v>
      </c>
      <c r="D6" s="9">
        <v>7.4999999999999997E-2</v>
      </c>
    </row>
    <row r="7" spans="2:4" ht="15" thickBot="1" x14ac:dyDescent="0.4">
      <c r="B7" s="3">
        <v>2</v>
      </c>
      <c r="C7" t="s">
        <v>65</v>
      </c>
      <c r="D7" s="9">
        <v>3.2300000000000002E-2</v>
      </c>
    </row>
    <row r="8" spans="2:4" ht="15" thickBot="1" x14ac:dyDescent="0.4">
      <c r="B8" s="3">
        <v>1</v>
      </c>
      <c r="C8" t="s">
        <v>64</v>
      </c>
      <c r="D8" s="9">
        <v>2.3300000000000001E-2</v>
      </c>
    </row>
    <row r="9" spans="2:4" ht="15" thickBot="1" x14ac:dyDescent="0.4">
      <c r="B9" s="3">
        <v>3</v>
      </c>
      <c r="C9" t="s">
        <v>66</v>
      </c>
      <c r="D9" s="9">
        <v>8.3299999999999999E-2</v>
      </c>
    </row>
    <row r="10" spans="2:4" ht="15" thickBot="1" x14ac:dyDescent="0.4">
      <c r="B10" s="3">
        <v>2</v>
      </c>
      <c r="C10" t="s">
        <v>65</v>
      </c>
      <c r="D10" s="9">
        <v>0.04</v>
      </c>
    </row>
    <row r="11" spans="2:4" ht="15" thickBot="1" x14ac:dyDescent="0.4">
      <c r="B11" s="3">
        <v>1</v>
      </c>
      <c r="C11" t="s">
        <v>64</v>
      </c>
      <c r="D11" s="9">
        <v>0.3</v>
      </c>
    </row>
    <row r="12" spans="2:4" ht="15" thickBot="1" x14ac:dyDescent="0.4">
      <c r="B12" s="3">
        <v>2</v>
      </c>
      <c r="C12" t="s">
        <v>65</v>
      </c>
      <c r="D12" s="9">
        <v>9.5200000000000007E-2</v>
      </c>
    </row>
    <row r="13" spans="2:4" ht="15" thickBot="1" x14ac:dyDescent="0.4">
      <c r="B13" s="3">
        <v>3</v>
      </c>
      <c r="C13" t="s">
        <v>66</v>
      </c>
      <c r="D13" s="9">
        <v>8.5099999999999995E-2</v>
      </c>
    </row>
    <row r="14" spans="2:4" ht="15" thickBot="1" x14ac:dyDescent="0.4">
      <c r="B14" s="3">
        <v>2</v>
      </c>
      <c r="C14" t="s">
        <v>65</v>
      </c>
      <c r="D14" s="9">
        <v>0.1429</v>
      </c>
    </row>
    <row r="15" spans="2:4" ht="15" thickBot="1" x14ac:dyDescent="0.4">
      <c r="B15" s="3">
        <v>2</v>
      </c>
      <c r="C15" t="s">
        <v>65</v>
      </c>
      <c r="D15" s="9">
        <v>2.0400000000000001E-2</v>
      </c>
    </row>
    <row r="16" spans="2:4" ht="15" thickBot="1" x14ac:dyDescent="0.4">
      <c r="B16" s="3">
        <v>3</v>
      </c>
      <c r="C16" t="s">
        <v>66</v>
      </c>
      <c r="D16" s="9">
        <v>9.7600000000000006E-2</v>
      </c>
    </row>
    <row r="17" spans="2:4" ht="15" thickBot="1" x14ac:dyDescent="0.4">
      <c r="B17" s="3">
        <v>3</v>
      </c>
      <c r="C17" t="s">
        <v>66</v>
      </c>
      <c r="D17" s="9">
        <v>3.4500000000000003E-2</v>
      </c>
    </row>
    <row r="18" spans="2:4" ht="15" thickBot="1" x14ac:dyDescent="0.4">
      <c r="B18" s="3">
        <v>2</v>
      </c>
      <c r="C18" t="s">
        <v>65</v>
      </c>
      <c r="D18" s="9">
        <v>2.9399999999999999E-2</v>
      </c>
    </row>
    <row r="19" spans="2:4" ht="15" thickBot="1" x14ac:dyDescent="0.4">
      <c r="B19" s="3">
        <v>1</v>
      </c>
      <c r="C19" t="s">
        <v>64</v>
      </c>
      <c r="D19" s="9">
        <v>0</v>
      </c>
    </row>
    <row r="20" spans="2:4" ht="15" thickBot="1" x14ac:dyDescent="0.4">
      <c r="B20" s="3">
        <v>2</v>
      </c>
      <c r="C20" t="s">
        <v>65</v>
      </c>
      <c r="D20" s="9">
        <v>6.6699999999999995E-2</v>
      </c>
    </row>
    <row r="21" spans="2:4" ht="15" thickBot="1" x14ac:dyDescent="0.4">
      <c r="B21" s="3">
        <v>2</v>
      </c>
      <c r="C21" t="s">
        <v>65</v>
      </c>
      <c r="D21" s="9">
        <v>9.3799999999999994E-2</v>
      </c>
    </row>
    <row r="22" spans="2:4" ht="15" thickBot="1" x14ac:dyDescent="0.4">
      <c r="B22" s="3">
        <v>2</v>
      </c>
      <c r="C22" t="s">
        <v>65</v>
      </c>
      <c r="D22" s="9">
        <v>0</v>
      </c>
    </row>
    <row r="23" spans="2:4" ht="15" thickBot="1" x14ac:dyDescent="0.4">
      <c r="B23" s="3">
        <v>2</v>
      </c>
      <c r="C23" t="s">
        <v>65</v>
      </c>
      <c r="D23" s="9">
        <v>0</v>
      </c>
    </row>
    <row r="24" spans="2:4" ht="15" thickBot="1" x14ac:dyDescent="0.4">
      <c r="B24" s="3">
        <v>2</v>
      </c>
      <c r="C24" t="s">
        <v>65</v>
      </c>
      <c r="D24" s="9">
        <v>0</v>
      </c>
    </row>
    <row r="25" spans="2:4" ht="15" thickBot="1" x14ac:dyDescent="0.4">
      <c r="B25" s="3">
        <v>3</v>
      </c>
      <c r="C25" t="s">
        <v>66</v>
      </c>
      <c r="D25" s="9">
        <v>0.15790000000000001</v>
      </c>
    </row>
    <row r="26" spans="2:4" ht="15" thickBot="1" x14ac:dyDescent="0.4">
      <c r="B26" s="3">
        <v>1</v>
      </c>
      <c r="C26" t="s">
        <v>64</v>
      </c>
      <c r="D26" s="9">
        <v>0.4194</v>
      </c>
    </row>
    <row r="27" spans="2:4" ht="15" thickBot="1" x14ac:dyDescent="0.4">
      <c r="B27" s="3">
        <v>2</v>
      </c>
      <c r="C27" t="s">
        <v>65</v>
      </c>
      <c r="D27" s="9">
        <v>0.26669999999999999</v>
      </c>
    </row>
    <row r="28" spans="2:4" ht="15" thickBot="1" x14ac:dyDescent="0.4">
      <c r="B28" s="3">
        <v>3</v>
      </c>
      <c r="C28" t="s">
        <v>66</v>
      </c>
      <c r="D28" s="9">
        <v>2.3300000000000001E-2</v>
      </c>
    </row>
    <row r="29" spans="2:4" ht="15" thickBot="1" x14ac:dyDescent="0.4">
      <c r="B29" s="3">
        <v>2</v>
      </c>
      <c r="C29" t="s">
        <v>65</v>
      </c>
      <c r="D29" s="9">
        <v>2.63E-2</v>
      </c>
    </row>
    <row r="30" spans="2:4" ht="15" thickBot="1" x14ac:dyDescent="0.4">
      <c r="B30" s="3">
        <v>3</v>
      </c>
      <c r="C30" t="s">
        <v>66</v>
      </c>
      <c r="D30" s="9">
        <v>5.1299999999999998E-2</v>
      </c>
    </row>
    <row r="31" spans="2:4" ht="15" thickBot="1" x14ac:dyDescent="0.4">
      <c r="B31" s="3">
        <v>3</v>
      </c>
      <c r="C31" t="s">
        <v>66</v>
      </c>
      <c r="D31" s="9">
        <v>9.0899999999999995E-2</v>
      </c>
    </row>
    <row r="32" spans="2:4" ht="15" thickBot="1" x14ac:dyDescent="0.4">
      <c r="B32" s="3">
        <v>2</v>
      </c>
      <c r="C32" t="s">
        <v>65</v>
      </c>
      <c r="D32" s="9">
        <v>3.3300000000000003E-2</v>
      </c>
    </row>
    <row r="33" spans="2:15" ht="15" thickBot="1" x14ac:dyDescent="0.4">
      <c r="B33" s="3">
        <v>3</v>
      </c>
      <c r="C33" t="s">
        <v>66</v>
      </c>
      <c r="D33" s="9">
        <v>0.2051</v>
      </c>
    </row>
    <row r="34" spans="2:15" ht="15" thickBot="1" x14ac:dyDescent="0.4">
      <c r="B34" s="3">
        <v>2</v>
      </c>
      <c r="C34" t="s">
        <v>65</v>
      </c>
      <c r="D34" s="9">
        <v>0</v>
      </c>
    </row>
    <row r="35" spans="2:15" ht="15" thickBot="1" x14ac:dyDescent="0.4">
      <c r="B35" s="3">
        <v>3</v>
      </c>
      <c r="C35" t="s">
        <v>66</v>
      </c>
      <c r="D35" s="9">
        <v>6.5199999999999994E-2</v>
      </c>
    </row>
    <row r="36" spans="2:15" ht="15" thickBot="1" x14ac:dyDescent="0.4">
      <c r="B36" s="3">
        <v>2</v>
      </c>
      <c r="C36" t="s">
        <v>65</v>
      </c>
      <c r="D36" s="9">
        <v>0</v>
      </c>
    </row>
    <row r="37" spans="2:15" ht="15" thickBot="1" x14ac:dyDescent="0.4">
      <c r="B37" s="3">
        <v>3</v>
      </c>
      <c r="C37" t="s">
        <v>66</v>
      </c>
      <c r="D37" s="9">
        <v>1.9199999999999998E-2</v>
      </c>
    </row>
    <row r="38" spans="2:15" ht="15" thickBot="1" x14ac:dyDescent="0.4">
      <c r="B38" s="3">
        <v>2</v>
      </c>
      <c r="C38" t="s">
        <v>65</v>
      </c>
      <c r="D38" s="9">
        <v>0</v>
      </c>
    </row>
    <row r="39" spans="2:15" ht="15" thickBot="1" x14ac:dyDescent="0.4">
      <c r="B39" s="3">
        <v>2</v>
      </c>
      <c r="C39" t="s">
        <v>65</v>
      </c>
      <c r="D39" s="9">
        <v>2.4400000000000002E-2</v>
      </c>
    </row>
    <row r="40" spans="2:15" ht="15" thickBot="1" x14ac:dyDescent="0.4">
      <c r="B40" s="3">
        <v>1</v>
      </c>
      <c r="C40" t="s">
        <v>64</v>
      </c>
      <c r="D40" s="9">
        <v>0</v>
      </c>
    </row>
    <row r="41" spans="2:15" ht="15" thickBot="1" x14ac:dyDescent="0.4">
      <c r="B41" s="3">
        <v>3</v>
      </c>
      <c r="C41" t="s">
        <v>66</v>
      </c>
      <c r="D41" s="9">
        <v>0.33329999999999999</v>
      </c>
    </row>
    <row r="42" spans="2:15" ht="15" thickBot="1" x14ac:dyDescent="0.4">
      <c r="B42" s="3">
        <v>2</v>
      </c>
      <c r="C42" t="s">
        <v>65</v>
      </c>
      <c r="D42" s="9">
        <v>0</v>
      </c>
    </row>
    <row r="43" spans="2:15" ht="15" thickBot="1" x14ac:dyDescent="0.4">
      <c r="B43" s="3">
        <v>3</v>
      </c>
      <c r="C43" t="s">
        <v>66</v>
      </c>
      <c r="D43" s="9">
        <v>7.1400000000000005E-2</v>
      </c>
      <c r="O43" t="s">
        <v>67</v>
      </c>
    </row>
    <row r="44" spans="2:15" ht="15" thickBot="1" x14ac:dyDescent="0.4">
      <c r="B44" s="3">
        <v>3</v>
      </c>
      <c r="C44" t="s">
        <v>66</v>
      </c>
      <c r="D44" s="9">
        <v>2.63E-2</v>
      </c>
    </row>
    <row r="45" spans="2:15" ht="15" thickBot="1" x14ac:dyDescent="0.4">
      <c r="B45" s="3">
        <v>2</v>
      </c>
      <c r="C45" t="s">
        <v>65</v>
      </c>
      <c r="D45" s="9">
        <v>2.0799999999999999E-2</v>
      </c>
    </row>
    <row r="46" spans="2:15" ht="15" thickBot="1" x14ac:dyDescent="0.4">
      <c r="B46" s="3">
        <v>3</v>
      </c>
      <c r="C46" t="s">
        <v>66</v>
      </c>
      <c r="D46" s="9">
        <v>0.2</v>
      </c>
    </row>
    <row r="47" spans="2:15" ht="15" thickBot="1" x14ac:dyDescent="0.4">
      <c r="B47" s="3">
        <v>2</v>
      </c>
      <c r="C47" t="s">
        <v>65</v>
      </c>
      <c r="D47" s="9">
        <v>0</v>
      </c>
    </row>
    <row r="48" spans="2:15" ht="15" thickBot="1" x14ac:dyDescent="0.4">
      <c r="B48" s="3">
        <v>2</v>
      </c>
      <c r="C48" t="s">
        <v>65</v>
      </c>
      <c r="D48" s="9">
        <v>2.0799999999999999E-2</v>
      </c>
    </row>
    <row r="49" spans="2:4" ht="15" thickBot="1" x14ac:dyDescent="0.4">
      <c r="B49" s="3">
        <v>3</v>
      </c>
      <c r="C49" t="s">
        <v>66</v>
      </c>
      <c r="D49" s="9">
        <v>9.0899999999999995E-2</v>
      </c>
    </row>
    <row r="50" spans="2:4" ht="15" thickBot="1" x14ac:dyDescent="0.4">
      <c r="B50" s="3">
        <v>2</v>
      </c>
      <c r="C50" t="s">
        <v>65</v>
      </c>
      <c r="D50" s="9">
        <v>0</v>
      </c>
    </row>
    <row r="51" spans="2:4" ht="15" thickBot="1" x14ac:dyDescent="0.4">
      <c r="B51" s="3">
        <v>3</v>
      </c>
      <c r="C51" t="s">
        <v>66</v>
      </c>
      <c r="D51" s="9">
        <v>4.0800000000000003E-2</v>
      </c>
    </row>
    <row r="52" spans="2:4" ht="15" thickBot="1" x14ac:dyDescent="0.4">
      <c r="B52" s="3">
        <v>1</v>
      </c>
      <c r="C52" t="s">
        <v>64</v>
      </c>
      <c r="D52" s="9">
        <v>8.6999999999999994E-2</v>
      </c>
    </row>
    <row r="53" spans="2:4" ht="15" thickBot="1" x14ac:dyDescent="0.4">
      <c r="B53" s="3">
        <v>2</v>
      </c>
      <c r="C53" t="s">
        <v>65</v>
      </c>
      <c r="D53" s="9">
        <v>3.2300000000000002E-2</v>
      </c>
    </row>
    <row r="54" spans="2:4" ht="15" thickBot="1" x14ac:dyDescent="0.4">
      <c r="B54" s="3">
        <v>2</v>
      </c>
      <c r="C54" t="s">
        <v>65</v>
      </c>
      <c r="D54" s="9">
        <v>3.5700000000000003E-2</v>
      </c>
    </row>
    <row r="55" spans="2:4" ht="15" thickBot="1" x14ac:dyDescent="0.4">
      <c r="B55" s="3">
        <v>3</v>
      </c>
      <c r="C55" t="s">
        <v>66</v>
      </c>
      <c r="D55" s="9">
        <v>0.20749999999999999</v>
      </c>
    </row>
    <row r="56" spans="2:4" ht="15" thickBot="1" x14ac:dyDescent="0.4">
      <c r="B56" s="3">
        <v>2</v>
      </c>
      <c r="C56" t="s">
        <v>65</v>
      </c>
      <c r="D56" s="9">
        <v>2.2700000000000001E-2</v>
      </c>
    </row>
    <row r="57" spans="2:4" ht="15" thickBot="1" x14ac:dyDescent="0.4">
      <c r="B57" s="3">
        <v>3</v>
      </c>
      <c r="C57" t="s">
        <v>66</v>
      </c>
      <c r="D57" s="9">
        <v>0.1081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F03A-D10B-4C23-B6A0-F04B61015C8F}">
  <dimension ref="A1:C57"/>
  <sheetViews>
    <sheetView workbookViewId="0">
      <selection activeCell="B6" sqref="B6"/>
    </sheetView>
  </sheetViews>
  <sheetFormatPr defaultRowHeight="14.5" x14ac:dyDescent="0.35"/>
  <cols>
    <col min="3" max="3" width="10.6328125" bestFit="1" customWidth="1"/>
  </cols>
  <sheetData>
    <row r="1" spans="1:3" ht="26.5" thickBot="1" x14ac:dyDescent="0.4">
      <c r="A1" s="25" t="s">
        <v>0</v>
      </c>
      <c r="B1" s="25" t="s">
        <v>3</v>
      </c>
      <c r="C1" t="s">
        <v>99</v>
      </c>
    </row>
    <row r="2" spans="1:3" ht="15" thickBot="1" x14ac:dyDescent="0.4">
      <c r="A2" s="2">
        <v>45930</v>
      </c>
      <c r="B2" s="4">
        <v>0.20449999999999999</v>
      </c>
      <c r="C2" t="str">
        <f>TEXT(A2, "dddd")</f>
        <v>Tuesday</v>
      </c>
    </row>
    <row r="3" spans="1:3" ht="15" thickBot="1" x14ac:dyDescent="0.4">
      <c r="A3" s="2">
        <v>45931</v>
      </c>
      <c r="B3" s="4">
        <v>0.23080000000000001</v>
      </c>
      <c r="C3" t="str">
        <f t="shared" ref="C3:C57" si="0">TEXT(A3, "dddd")</f>
        <v>Wednesday</v>
      </c>
    </row>
    <row r="4" spans="1:3" ht="15" thickBot="1" x14ac:dyDescent="0.4">
      <c r="A4" s="2">
        <v>45932</v>
      </c>
      <c r="B4" s="4">
        <v>3.85E-2</v>
      </c>
      <c r="C4" t="str">
        <f t="shared" si="0"/>
        <v>Thursday</v>
      </c>
    </row>
    <row r="5" spans="1:3" ht="15" thickBot="1" x14ac:dyDescent="0.4">
      <c r="A5" s="2">
        <v>45932</v>
      </c>
      <c r="B5" s="4">
        <v>0.1026</v>
      </c>
      <c r="C5" t="str">
        <f t="shared" si="0"/>
        <v>Thursday</v>
      </c>
    </row>
    <row r="6" spans="1:3" ht="15" thickBot="1" x14ac:dyDescent="0.4">
      <c r="A6" s="2">
        <v>45933</v>
      </c>
      <c r="B6" s="4">
        <v>7.4999999999999997E-2</v>
      </c>
      <c r="C6" t="str">
        <f t="shared" si="0"/>
        <v>Friday</v>
      </c>
    </row>
    <row r="7" spans="1:3" ht="15" thickBot="1" x14ac:dyDescent="0.4">
      <c r="A7" s="2">
        <v>45933</v>
      </c>
      <c r="B7" s="4">
        <v>3.2300000000000002E-2</v>
      </c>
      <c r="C7" t="str">
        <f t="shared" si="0"/>
        <v>Friday</v>
      </c>
    </row>
    <row r="8" spans="1:3" ht="15" thickBot="1" x14ac:dyDescent="0.4">
      <c r="A8" s="2">
        <v>45934</v>
      </c>
      <c r="B8" s="4">
        <v>2.3300000000000001E-2</v>
      </c>
      <c r="C8" t="str">
        <f t="shared" si="0"/>
        <v>Saturday</v>
      </c>
    </row>
    <row r="9" spans="1:3" ht="15" thickBot="1" x14ac:dyDescent="0.4">
      <c r="A9" s="2">
        <v>45935</v>
      </c>
      <c r="B9" s="4">
        <v>8.3299999999999999E-2</v>
      </c>
      <c r="C9" t="str">
        <f t="shared" si="0"/>
        <v>Sunday</v>
      </c>
    </row>
    <row r="10" spans="1:3" ht="15" thickBot="1" x14ac:dyDescent="0.4">
      <c r="A10" s="2">
        <v>45936</v>
      </c>
      <c r="B10" s="4">
        <v>0.04</v>
      </c>
      <c r="C10" t="str">
        <f t="shared" si="0"/>
        <v>Monday</v>
      </c>
    </row>
    <row r="11" spans="1:3" ht="15" thickBot="1" x14ac:dyDescent="0.4">
      <c r="A11" s="2">
        <v>45936</v>
      </c>
      <c r="B11" s="4">
        <v>0.3</v>
      </c>
      <c r="C11" t="str">
        <f t="shared" si="0"/>
        <v>Monday</v>
      </c>
    </row>
    <row r="12" spans="1:3" ht="15" thickBot="1" x14ac:dyDescent="0.4">
      <c r="A12" s="2">
        <v>45936</v>
      </c>
      <c r="B12" s="4">
        <v>9.5200000000000007E-2</v>
      </c>
      <c r="C12" t="str">
        <f t="shared" si="0"/>
        <v>Monday</v>
      </c>
    </row>
    <row r="13" spans="1:3" ht="15" thickBot="1" x14ac:dyDescent="0.4">
      <c r="A13" s="2">
        <v>45937</v>
      </c>
      <c r="B13" s="4">
        <v>8.5099999999999995E-2</v>
      </c>
      <c r="C13" t="str">
        <f t="shared" si="0"/>
        <v>Tuesday</v>
      </c>
    </row>
    <row r="14" spans="1:3" ht="15" thickBot="1" x14ac:dyDescent="0.4">
      <c r="A14" s="2">
        <v>45937</v>
      </c>
      <c r="B14" s="4">
        <v>0.1429</v>
      </c>
      <c r="C14" t="str">
        <f t="shared" si="0"/>
        <v>Tuesday</v>
      </c>
    </row>
    <row r="15" spans="1:3" ht="15" thickBot="1" x14ac:dyDescent="0.4">
      <c r="A15" s="2">
        <v>45938</v>
      </c>
      <c r="B15" s="4">
        <v>2.0400000000000001E-2</v>
      </c>
      <c r="C15" t="str">
        <f t="shared" si="0"/>
        <v>Wednesday</v>
      </c>
    </row>
    <row r="16" spans="1:3" ht="15" thickBot="1" x14ac:dyDescent="0.4">
      <c r="A16" s="2">
        <v>45939</v>
      </c>
      <c r="B16" s="4">
        <v>9.7600000000000006E-2</v>
      </c>
      <c r="C16" t="str">
        <f t="shared" si="0"/>
        <v>Thursday</v>
      </c>
    </row>
    <row r="17" spans="1:3" ht="15" thickBot="1" x14ac:dyDescent="0.4">
      <c r="A17" s="2">
        <v>45939</v>
      </c>
      <c r="B17" s="4">
        <v>3.4500000000000003E-2</v>
      </c>
      <c r="C17" t="str">
        <f t="shared" si="0"/>
        <v>Thursday</v>
      </c>
    </row>
    <row r="18" spans="1:3" ht="15" thickBot="1" x14ac:dyDescent="0.4">
      <c r="A18" s="2">
        <v>45940</v>
      </c>
      <c r="B18" s="4">
        <v>2.9399999999999999E-2</v>
      </c>
      <c r="C18" t="str">
        <f t="shared" si="0"/>
        <v>Friday</v>
      </c>
    </row>
    <row r="19" spans="1:3" ht="15" thickBot="1" x14ac:dyDescent="0.4">
      <c r="A19" s="2">
        <v>45940</v>
      </c>
      <c r="B19" s="4">
        <v>0</v>
      </c>
      <c r="C19" t="str">
        <f t="shared" si="0"/>
        <v>Friday</v>
      </c>
    </row>
    <row r="20" spans="1:3" ht="15" thickBot="1" x14ac:dyDescent="0.4">
      <c r="A20" s="2">
        <v>45941</v>
      </c>
      <c r="B20" s="4">
        <v>6.6699999999999995E-2</v>
      </c>
      <c r="C20" t="str">
        <f t="shared" si="0"/>
        <v>Saturday</v>
      </c>
    </row>
    <row r="21" spans="1:3" ht="15" thickBot="1" x14ac:dyDescent="0.4">
      <c r="A21" s="2">
        <v>45942</v>
      </c>
      <c r="B21" s="4">
        <v>9.3799999999999994E-2</v>
      </c>
      <c r="C21" t="str">
        <f t="shared" si="0"/>
        <v>Sunday</v>
      </c>
    </row>
    <row r="22" spans="1:3" ht="15" thickBot="1" x14ac:dyDescent="0.4">
      <c r="A22" s="2">
        <v>45942</v>
      </c>
      <c r="B22" s="4">
        <v>0</v>
      </c>
      <c r="C22" t="str">
        <f t="shared" si="0"/>
        <v>Sunday</v>
      </c>
    </row>
    <row r="23" spans="1:3" ht="15" thickBot="1" x14ac:dyDescent="0.4">
      <c r="A23" s="2">
        <v>45943</v>
      </c>
      <c r="B23" s="4">
        <v>0</v>
      </c>
      <c r="C23" t="str">
        <f t="shared" si="0"/>
        <v>Monday</v>
      </c>
    </row>
    <row r="24" spans="1:3" ht="15" thickBot="1" x14ac:dyDescent="0.4">
      <c r="A24" s="2">
        <v>45943</v>
      </c>
      <c r="B24" s="4">
        <v>0</v>
      </c>
      <c r="C24" t="str">
        <f t="shared" si="0"/>
        <v>Monday</v>
      </c>
    </row>
    <row r="25" spans="1:3" ht="15" thickBot="1" x14ac:dyDescent="0.4">
      <c r="A25" s="2">
        <v>45944</v>
      </c>
      <c r="B25" s="4">
        <v>0.15790000000000001</v>
      </c>
      <c r="C25" t="str">
        <f t="shared" si="0"/>
        <v>Tuesday</v>
      </c>
    </row>
    <row r="26" spans="1:3" ht="15" thickBot="1" x14ac:dyDescent="0.4">
      <c r="A26" s="2">
        <v>45944</v>
      </c>
      <c r="B26" s="4">
        <v>0.4194</v>
      </c>
      <c r="C26" t="str">
        <f t="shared" si="0"/>
        <v>Tuesday</v>
      </c>
    </row>
    <row r="27" spans="1:3" ht="15" thickBot="1" x14ac:dyDescent="0.4">
      <c r="A27" s="2">
        <v>45945</v>
      </c>
      <c r="B27" s="4">
        <v>0.26669999999999999</v>
      </c>
      <c r="C27" t="str">
        <f t="shared" si="0"/>
        <v>Wednesday</v>
      </c>
    </row>
    <row r="28" spans="1:3" ht="15" thickBot="1" x14ac:dyDescent="0.4">
      <c r="A28" s="2">
        <v>45945</v>
      </c>
      <c r="B28" s="4">
        <v>2.3300000000000001E-2</v>
      </c>
      <c r="C28" t="str">
        <f t="shared" si="0"/>
        <v>Wednesday</v>
      </c>
    </row>
    <row r="29" spans="1:3" ht="15" thickBot="1" x14ac:dyDescent="0.4">
      <c r="A29" s="2">
        <v>45946</v>
      </c>
      <c r="B29" s="4">
        <v>2.63E-2</v>
      </c>
      <c r="C29" t="str">
        <f t="shared" si="0"/>
        <v>Thursday</v>
      </c>
    </row>
    <row r="30" spans="1:3" ht="15" thickBot="1" x14ac:dyDescent="0.4">
      <c r="A30" s="2">
        <v>45947</v>
      </c>
      <c r="B30" s="4">
        <v>5.1299999999999998E-2</v>
      </c>
      <c r="C30" t="str">
        <f t="shared" si="0"/>
        <v>Friday</v>
      </c>
    </row>
    <row r="31" spans="1:3" ht="15" thickBot="1" x14ac:dyDescent="0.4">
      <c r="A31" s="2">
        <v>45948</v>
      </c>
      <c r="B31" s="4">
        <v>9.0899999999999995E-2</v>
      </c>
      <c r="C31" t="str">
        <f t="shared" si="0"/>
        <v>Saturday</v>
      </c>
    </row>
    <row r="32" spans="1:3" ht="15" thickBot="1" x14ac:dyDescent="0.4">
      <c r="A32" s="2">
        <v>45948</v>
      </c>
      <c r="B32" s="4">
        <v>3.3300000000000003E-2</v>
      </c>
      <c r="C32" t="str">
        <f t="shared" si="0"/>
        <v>Saturday</v>
      </c>
    </row>
    <row r="33" spans="1:3" ht="15" thickBot="1" x14ac:dyDescent="0.4">
      <c r="A33" s="2">
        <v>45949</v>
      </c>
      <c r="B33" s="4">
        <v>0.2051</v>
      </c>
      <c r="C33" t="str">
        <f t="shared" si="0"/>
        <v>Sunday</v>
      </c>
    </row>
    <row r="34" spans="1:3" ht="15" thickBot="1" x14ac:dyDescent="0.4">
      <c r="A34" s="2">
        <v>45950</v>
      </c>
      <c r="B34" s="4">
        <v>0</v>
      </c>
      <c r="C34" t="str">
        <f t="shared" si="0"/>
        <v>Monday</v>
      </c>
    </row>
    <row r="35" spans="1:3" ht="15" thickBot="1" x14ac:dyDescent="0.4">
      <c r="A35" s="2">
        <v>45951</v>
      </c>
      <c r="B35" s="4">
        <v>6.5199999999999994E-2</v>
      </c>
      <c r="C35" t="str">
        <f t="shared" si="0"/>
        <v>Tuesday</v>
      </c>
    </row>
    <row r="36" spans="1:3" ht="15" thickBot="1" x14ac:dyDescent="0.4">
      <c r="A36" s="2">
        <v>45951</v>
      </c>
      <c r="B36" s="4">
        <v>0</v>
      </c>
      <c r="C36" t="str">
        <f t="shared" si="0"/>
        <v>Tuesday</v>
      </c>
    </row>
    <row r="37" spans="1:3" ht="15" thickBot="1" x14ac:dyDescent="0.4">
      <c r="A37" s="2">
        <v>45952</v>
      </c>
      <c r="B37" s="4">
        <v>1.9199999999999998E-2</v>
      </c>
      <c r="C37" t="str">
        <f t="shared" si="0"/>
        <v>Wednesday</v>
      </c>
    </row>
    <row r="38" spans="1:3" ht="15" thickBot="1" x14ac:dyDescent="0.4">
      <c r="A38" s="2">
        <v>45952</v>
      </c>
      <c r="B38" s="4">
        <v>0</v>
      </c>
      <c r="C38" t="str">
        <f t="shared" si="0"/>
        <v>Wednesday</v>
      </c>
    </row>
    <row r="39" spans="1:3" ht="15" thickBot="1" x14ac:dyDescent="0.4">
      <c r="A39" s="2">
        <v>45958</v>
      </c>
      <c r="B39" s="4">
        <v>2.4400000000000002E-2</v>
      </c>
      <c r="C39" t="str">
        <f t="shared" si="0"/>
        <v>Tuesday</v>
      </c>
    </row>
    <row r="40" spans="1:3" ht="15" thickBot="1" x14ac:dyDescent="0.4">
      <c r="A40" s="2">
        <v>45959</v>
      </c>
      <c r="B40" s="4">
        <v>0</v>
      </c>
      <c r="C40" t="str">
        <f t="shared" si="0"/>
        <v>Wednesday</v>
      </c>
    </row>
    <row r="41" spans="1:3" ht="15" thickBot="1" x14ac:dyDescent="0.4">
      <c r="A41" s="2">
        <v>45959</v>
      </c>
      <c r="B41" s="4">
        <v>0.33329999999999999</v>
      </c>
      <c r="C41" t="str">
        <f t="shared" si="0"/>
        <v>Wednesday</v>
      </c>
    </row>
    <row r="42" spans="1:3" ht="15" thickBot="1" x14ac:dyDescent="0.4">
      <c r="A42" s="2">
        <v>45959</v>
      </c>
      <c r="B42" s="4">
        <v>0</v>
      </c>
      <c r="C42" t="str">
        <f t="shared" si="0"/>
        <v>Wednesday</v>
      </c>
    </row>
    <row r="43" spans="1:3" ht="15" thickBot="1" x14ac:dyDescent="0.4">
      <c r="A43" s="2">
        <v>45960</v>
      </c>
      <c r="B43" s="4">
        <v>7.1400000000000005E-2</v>
      </c>
      <c r="C43" t="str">
        <f t="shared" si="0"/>
        <v>Thursday</v>
      </c>
    </row>
    <row r="44" spans="1:3" ht="15" thickBot="1" x14ac:dyDescent="0.4">
      <c r="A44" s="2">
        <v>45960</v>
      </c>
      <c r="B44" s="4">
        <v>2.63E-2</v>
      </c>
      <c r="C44" t="str">
        <f t="shared" si="0"/>
        <v>Thursday</v>
      </c>
    </row>
    <row r="45" spans="1:3" ht="15" thickBot="1" x14ac:dyDescent="0.4">
      <c r="A45" s="2">
        <v>45961</v>
      </c>
      <c r="B45" s="4">
        <v>2.0799999999999999E-2</v>
      </c>
      <c r="C45" t="str">
        <f t="shared" si="0"/>
        <v>Friday</v>
      </c>
    </row>
    <row r="46" spans="1:3" ht="15" thickBot="1" x14ac:dyDescent="0.4">
      <c r="A46" s="2">
        <v>45962</v>
      </c>
      <c r="B46" s="4">
        <v>0.2</v>
      </c>
      <c r="C46" t="str">
        <f t="shared" si="0"/>
        <v>Saturday</v>
      </c>
    </row>
    <row r="47" spans="1:3" ht="15" thickBot="1" x14ac:dyDescent="0.4">
      <c r="A47" s="2">
        <v>45963</v>
      </c>
      <c r="B47" s="4">
        <v>0</v>
      </c>
      <c r="C47" t="str">
        <f t="shared" si="0"/>
        <v>Sunday</v>
      </c>
    </row>
    <row r="48" spans="1:3" ht="15" thickBot="1" x14ac:dyDescent="0.4">
      <c r="A48" s="2">
        <v>45963</v>
      </c>
      <c r="B48" s="4">
        <v>2.0799999999999999E-2</v>
      </c>
      <c r="C48" t="str">
        <f t="shared" si="0"/>
        <v>Sunday</v>
      </c>
    </row>
    <row r="49" spans="1:3" ht="15" thickBot="1" x14ac:dyDescent="0.4">
      <c r="A49" s="2">
        <v>45964</v>
      </c>
      <c r="B49" s="4">
        <v>9.0899999999999995E-2</v>
      </c>
      <c r="C49" t="str">
        <f t="shared" si="0"/>
        <v>Monday</v>
      </c>
    </row>
    <row r="50" spans="1:3" ht="15" thickBot="1" x14ac:dyDescent="0.4">
      <c r="A50" s="2">
        <v>45964</v>
      </c>
      <c r="B50" s="4">
        <v>0</v>
      </c>
      <c r="C50" t="str">
        <f t="shared" si="0"/>
        <v>Monday</v>
      </c>
    </row>
    <row r="51" spans="1:3" ht="15" thickBot="1" x14ac:dyDescent="0.4">
      <c r="A51" s="2">
        <v>45965</v>
      </c>
      <c r="B51" s="4">
        <v>4.0800000000000003E-2</v>
      </c>
      <c r="C51" t="str">
        <f t="shared" si="0"/>
        <v>Tuesday</v>
      </c>
    </row>
    <row r="52" spans="1:3" ht="15" thickBot="1" x14ac:dyDescent="0.4">
      <c r="A52" s="2">
        <v>45965</v>
      </c>
      <c r="B52" s="4">
        <v>8.6999999999999994E-2</v>
      </c>
      <c r="C52" t="str">
        <f t="shared" si="0"/>
        <v>Tuesday</v>
      </c>
    </row>
    <row r="53" spans="1:3" ht="15" thickBot="1" x14ac:dyDescent="0.4">
      <c r="A53" s="2">
        <v>45967</v>
      </c>
      <c r="B53" s="4">
        <v>3.2300000000000002E-2</v>
      </c>
      <c r="C53" t="str">
        <f t="shared" si="0"/>
        <v>Thursday</v>
      </c>
    </row>
    <row r="54" spans="1:3" ht="15" thickBot="1" x14ac:dyDescent="0.4">
      <c r="A54" s="2">
        <v>45967</v>
      </c>
      <c r="B54" s="4">
        <v>3.5700000000000003E-2</v>
      </c>
      <c r="C54" t="str">
        <f t="shared" si="0"/>
        <v>Thursday</v>
      </c>
    </row>
    <row r="55" spans="1:3" ht="15" thickBot="1" x14ac:dyDescent="0.4">
      <c r="A55" s="2">
        <v>45970</v>
      </c>
      <c r="B55" s="4">
        <v>0.20749999999999999</v>
      </c>
      <c r="C55" t="str">
        <f t="shared" si="0"/>
        <v>Sunday</v>
      </c>
    </row>
    <row r="56" spans="1:3" ht="15" thickBot="1" x14ac:dyDescent="0.4">
      <c r="A56" s="2">
        <v>45972</v>
      </c>
      <c r="B56" s="4">
        <v>2.2700000000000001E-2</v>
      </c>
      <c r="C56" t="str">
        <f t="shared" si="0"/>
        <v>Tuesday</v>
      </c>
    </row>
    <row r="57" spans="1:3" ht="15" thickBot="1" x14ac:dyDescent="0.4">
      <c r="A57" s="2">
        <v>45973</v>
      </c>
      <c r="B57" s="4">
        <v>0.1081</v>
      </c>
      <c r="C57" t="str">
        <f t="shared" si="0"/>
        <v>Wednesday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5CAF-0A02-481E-B774-174B3C3F89AF}">
  <dimension ref="A1:E57"/>
  <sheetViews>
    <sheetView workbookViewId="0">
      <selection activeCell="E8" sqref="E8"/>
    </sheetView>
  </sheetViews>
  <sheetFormatPr defaultRowHeight="14.5" x14ac:dyDescent="0.35"/>
  <cols>
    <col min="2" max="2" width="12.54296875" bestFit="1" customWidth="1"/>
    <col min="4" max="4" width="12.36328125" bestFit="1" customWidth="1"/>
    <col min="5" max="5" width="22.36328125" bestFit="1" customWidth="1"/>
  </cols>
  <sheetData>
    <row r="1" spans="1:5" x14ac:dyDescent="0.35">
      <c r="A1" t="s">
        <v>99</v>
      </c>
      <c r="B1" t="s">
        <v>3</v>
      </c>
    </row>
    <row r="2" spans="1:5" x14ac:dyDescent="0.35">
      <c r="A2" t="s">
        <v>101</v>
      </c>
      <c r="B2">
        <v>0.20449999999999999</v>
      </c>
    </row>
    <row r="3" spans="1:5" x14ac:dyDescent="0.35">
      <c r="A3" t="s">
        <v>102</v>
      </c>
      <c r="B3">
        <v>0.23080000000000001</v>
      </c>
    </row>
    <row r="4" spans="1:5" x14ac:dyDescent="0.35">
      <c r="A4" t="s">
        <v>103</v>
      </c>
      <c r="B4">
        <v>3.85E-2</v>
      </c>
      <c r="D4" s="27" t="s">
        <v>59</v>
      </c>
      <c r="E4" t="s">
        <v>61</v>
      </c>
    </row>
    <row r="5" spans="1:5" x14ac:dyDescent="0.35">
      <c r="A5" t="s">
        <v>103</v>
      </c>
      <c r="B5">
        <v>0.1026</v>
      </c>
      <c r="D5" s="28" t="s">
        <v>100</v>
      </c>
      <c r="E5" s="32">
        <v>6.5762500000000002E-2</v>
      </c>
    </row>
    <row r="6" spans="1:5" x14ac:dyDescent="0.35">
      <c r="A6" t="s">
        <v>104</v>
      </c>
      <c r="B6">
        <v>7.4999999999999997E-2</v>
      </c>
      <c r="D6" s="28" t="s">
        <v>101</v>
      </c>
      <c r="E6" s="32">
        <v>0.1136272727272727</v>
      </c>
    </row>
    <row r="7" spans="1:5" x14ac:dyDescent="0.35">
      <c r="A7" t="s">
        <v>104</v>
      </c>
      <c r="B7">
        <v>3.2300000000000002E-2</v>
      </c>
      <c r="D7" s="28" t="s">
        <v>102</v>
      </c>
      <c r="E7" s="32">
        <v>0.10018000000000001</v>
      </c>
    </row>
    <row r="8" spans="1:5" x14ac:dyDescent="0.35">
      <c r="A8" t="s">
        <v>105</v>
      </c>
      <c r="B8">
        <v>2.3300000000000001E-2</v>
      </c>
      <c r="D8" s="28" t="s">
        <v>103</v>
      </c>
      <c r="E8" s="32">
        <v>5.1688888888888888E-2</v>
      </c>
    </row>
    <row r="9" spans="1:5" x14ac:dyDescent="0.35">
      <c r="A9" t="s">
        <v>106</v>
      </c>
      <c r="B9">
        <v>8.3299999999999999E-2</v>
      </c>
      <c r="D9" s="28" t="s">
        <v>104</v>
      </c>
      <c r="E9" s="32">
        <v>3.4799999999999998E-2</v>
      </c>
    </row>
    <row r="10" spans="1:5" x14ac:dyDescent="0.35">
      <c r="A10" t="s">
        <v>100</v>
      </c>
      <c r="B10">
        <v>0.04</v>
      </c>
      <c r="D10" s="28" t="s">
        <v>105</v>
      </c>
      <c r="E10" s="32">
        <v>8.2839999999999997E-2</v>
      </c>
    </row>
    <row r="11" spans="1:5" x14ac:dyDescent="0.35">
      <c r="A11" t="s">
        <v>100</v>
      </c>
      <c r="B11">
        <v>0.3</v>
      </c>
      <c r="D11" s="28" t="s">
        <v>106</v>
      </c>
      <c r="E11" s="32">
        <v>8.7214285714285703E-2</v>
      </c>
    </row>
    <row r="12" spans="1:5" x14ac:dyDescent="0.35">
      <c r="A12" t="s">
        <v>100</v>
      </c>
      <c r="B12">
        <v>9.5200000000000007E-2</v>
      </c>
      <c r="D12" s="28" t="s">
        <v>60</v>
      </c>
      <c r="E12" s="32">
        <v>7.9937499999999995E-2</v>
      </c>
    </row>
    <row r="13" spans="1:5" x14ac:dyDescent="0.35">
      <c r="A13" t="s">
        <v>101</v>
      </c>
      <c r="B13">
        <v>8.5099999999999995E-2</v>
      </c>
    </row>
    <row r="14" spans="1:5" x14ac:dyDescent="0.35">
      <c r="A14" t="s">
        <v>101</v>
      </c>
      <c r="B14">
        <v>0.1429</v>
      </c>
    </row>
    <row r="15" spans="1:5" x14ac:dyDescent="0.35">
      <c r="A15" t="s">
        <v>102</v>
      </c>
      <c r="B15">
        <v>2.0400000000000001E-2</v>
      </c>
    </row>
    <row r="16" spans="1:5" x14ac:dyDescent="0.35">
      <c r="A16" t="s">
        <v>103</v>
      </c>
      <c r="B16">
        <v>9.7600000000000006E-2</v>
      </c>
    </row>
    <row r="17" spans="1:2" x14ac:dyDescent="0.35">
      <c r="A17" t="s">
        <v>103</v>
      </c>
      <c r="B17">
        <v>3.4500000000000003E-2</v>
      </c>
    </row>
    <row r="18" spans="1:2" x14ac:dyDescent="0.35">
      <c r="A18" t="s">
        <v>104</v>
      </c>
      <c r="B18">
        <v>2.9399999999999999E-2</v>
      </c>
    </row>
    <row r="19" spans="1:2" x14ac:dyDescent="0.35">
      <c r="A19" t="s">
        <v>104</v>
      </c>
      <c r="B19">
        <v>0</v>
      </c>
    </row>
    <row r="20" spans="1:2" x14ac:dyDescent="0.35">
      <c r="A20" t="s">
        <v>105</v>
      </c>
      <c r="B20">
        <v>6.6699999999999995E-2</v>
      </c>
    </row>
    <row r="21" spans="1:2" x14ac:dyDescent="0.35">
      <c r="A21" t="s">
        <v>106</v>
      </c>
      <c r="B21">
        <v>9.3799999999999994E-2</v>
      </c>
    </row>
    <row r="22" spans="1:2" x14ac:dyDescent="0.35">
      <c r="A22" t="s">
        <v>106</v>
      </c>
      <c r="B22">
        <v>0</v>
      </c>
    </row>
    <row r="23" spans="1:2" x14ac:dyDescent="0.35">
      <c r="A23" t="s">
        <v>100</v>
      </c>
      <c r="B23">
        <v>0</v>
      </c>
    </row>
    <row r="24" spans="1:2" x14ac:dyDescent="0.35">
      <c r="A24" t="s">
        <v>100</v>
      </c>
      <c r="B24">
        <v>0</v>
      </c>
    </row>
    <row r="25" spans="1:2" x14ac:dyDescent="0.35">
      <c r="A25" t="s">
        <v>101</v>
      </c>
      <c r="B25">
        <v>0.15790000000000001</v>
      </c>
    </row>
    <row r="26" spans="1:2" x14ac:dyDescent="0.35">
      <c r="A26" t="s">
        <v>101</v>
      </c>
      <c r="B26">
        <v>0.4194</v>
      </c>
    </row>
    <row r="27" spans="1:2" x14ac:dyDescent="0.35">
      <c r="A27" t="s">
        <v>102</v>
      </c>
      <c r="B27">
        <v>0.26669999999999999</v>
      </c>
    </row>
    <row r="28" spans="1:2" x14ac:dyDescent="0.35">
      <c r="A28" t="s">
        <v>102</v>
      </c>
      <c r="B28">
        <v>2.3300000000000001E-2</v>
      </c>
    </row>
    <row r="29" spans="1:2" x14ac:dyDescent="0.35">
      <c r="A29" t="s">
        <v>103</v>
      </c>
      <c r="B29">
        <v>2.63E-2</v>
      </c>
    </row>
    <row r="30" spans="1:2" x14ac:dyDescent="0.35">
      <c r="A30" t="s">
        <v>104</v>
      </c>
      <c r="B30">
        <v>5.1299999999999998E-2</v>
      </c>
    </row>
    <row r="31" spans="1:2" x14ac:dyDescent="0.35">
      <c r="A31" t="s">
        <v>105</v>
      </c>
      <c r="B31">
        <v>9.0899999999999995E-2</v>
      </c>
    </row>
    <row r="32" spans="1:2" x14ac:dyDescent="0.35">
      <c r="A32" t="s">
        <v>105</v>
      </c>
      <c r="B32">
        <v>3.3300000000000003E-2</v>
      </c>
    </row>
    <row r="33" spans="1:2" x14ac:dyDescent="0.35">
      <c r="A33" t="s">
        <v>106</v>
      </c>
      <c r="B33">
        <v>0.2051</v>
      </c>
    </row>
    <row r="34" spans="1:2" x14ac:dyDescent="0.35">
      <c r="A34" t="s">
        <v>100</v>
      </c>
      <c r="B34">
        <v>0</v>
      </c>
    </row>
    <row r="35" spans="1:2" x14ac:dyDescent="0.35">
      <c r="A35" t="s">
        <v>101</v>
      </c>
      <c r="B35">
        <v>6.5199999999999994E-2</v>
      </c>
    </row>
    <row r="36" spans="1:2" x14ac:dyDescent="0.35">
      <c r="A36" t="s">
        <v>101</v>
      </c>
      <c r="B36">
        <v>0</v>
      </c>
    </row>
    <row r="37" spans="1:2" x14ac:dyDescent="0.35">
      <c r="A37" t="s">
        <v>102</v>
      </c>
      <c r="B37">
        <v>1.9199999999999998E-2</v>
      </c>
    </row>
    <row r="38" spans="1:2" x14ac:dyDescent="0.35">
      <c r="A38" t="s">
        <v>102</v>
      </c>
      <c r="B38">
        <v>0</v>
      </c>
    </row>
    <row r="39" spans="1:2" x14ac:dyDescent="0.35">
      <c r="A39" t="s">
        <v>101</v>
      </c>
      <c r="B39">
        <v>2.4400000000000002E-2</v>
      </c>
    </row>
    <row r="40" spans="1:2" x14ac:dyDescent="0.35">
      <c r="A40" t="s">
        <v>102</v>
      </c>
      <c r="B40">
        <v>0</v>
      </c>
    </row>
    <row r="41" spans="1:2" x14ac:dyDescent="0.35">
      <c r="A41" t="s">
        <v>102</v>
      </c>
      <c r="B41">
        <v>0.33329999999999999</v>
      </c>
    </row>
    <row r="42" spans="1:2" x14ac:dyDescent="0.35">
      <c r="A42" t="s">
        <v>102</v>
      </c>
      <c r="B42">
        <v>0</v>
      </c>
    </row>
    <row r="43" spans="1:2" x14ac:dyDescent="0.35">
      <c r="A43" t="s">
        <v>103</v>
      </c>
      <c r="B43">
        <v>7.1400000000000005E-2</v>
      </c>
    </row>
    <row r="44" spans="1:2" x14ac:dyDescent="0.35">
      <c r="A44" t="s">
        <v>103</v>
      </c>
      <c r="B44">
        <v>2.63E-2</v>
      </c>
    </row>
    <row r="45" spans="1:2" x14ac:dyDescent="0.35">
      <c r="A45" t="s">
        <v>104</v>
      </c>
      <c r="B45">
        <v>2.0799999999999999E-2</v>
      </c>
    </row>
    <row r="46" spans="1:2" x14ac:dyDescent="0.35">
      <c r="A46" t="s">
        <v>105</v>
      </c>
      <c r="B46">
        <v>0.2</v>
      </c>
    </row>
    <row r="47" spans="1:2" x14ac:dyDescent="0.35">
      <c r="A47" t="s">
        <v>106</v>
      </c>
      <c r="B47">
        <v>0</v>
      </c>
    </row>
    <row r="48" spans="1:2" x14ac:dyDescent="0.35">
      <c r="A48" t="s">
        <v>106</v>
      </c>
      <c r="B48">
        <v>2.0799999999999999E-2</v>
      </c>
    </row>
    <row r="49" spans="1:2" x14ac:dyDescent="0.35">
      <c r="A49" t="s">
        <v>100</v>
      </c>
      <c r="B49">
        <v>9.0899999999999995E-2</v>
      </c>
    </row>
    <row r="50" spans="1:2" x14ac:dyDescent="0.35">
      <c r="A50" t="s">
        <v>100</v>
      </c>
      <c r="B50">
        <v>0</v>
      </c>
    </row>
    <row r="51" spans="1:2" x14ac:dyDescent="0.35">
      <c r="A51" t="s">
        <v>101</v>
      </c>
      <c r="B51">
        <v>4.0800000000000003E-2</v>
      </c>
    </row>
    <row r="52" spans="1:2" x14ac:dyDescent="0.35">
      <c r="A52" t="s">
        <v>101</v>
      </c>
      <c r="B52">
        <v>8.6999999999999994E-2</v>
      </c>
    </row>
    <row r="53" spans="1:2" x14ac:dyDescent="0.35">
      <c r="A53" t="s">
        <v>103</v>
      </c>
      <c r="B53">
        <v>3.2300000000000002E-2</v>
      </c>
    </row>
    <row r="54" spans="1:2" x14ac:dyDescent="0.35">
      <c r="A54" t="s">
        <v>103</v>
      </c>
      <c r="B54">
        <v>3.5700000000000003E-2</v>
      </c>
    </row>
    <row r="55" spans="1:2" x14ac:dyDescent="0.35">
      <c r="A55" t="s">
        <v>106</v>
      </c>
      <c r="B55">
        <v>0.20749999999999999</v>
      </c>
    </row>
    <row r="56" spans="1:2" x14ac:dyDescent="0.35">
      <c r="A56" t="s">
        <v>101</v>
      </c>
      <c r="B56">
        <v>2.2700000000000001E-2</v>
      </c>
    </row>
    <row r="57" spans="1:2" x14ac:dyDescent="0.35">
      <c r="A57" t="s">
        <v>102</v>
      </c>
      <c r="B57">
        <v>0.1081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D817-3999-4A2D-8695-F5CC9D29F619}">
  <dimension ref="A1:G5"/>
  <sheetViews>
    <sheetView workbookViewId="0">
      <selection activeCell="B1" sqref="B1:F1"/>
    </sheetView>
  </sheetViews>
  <sheetFormatPr defaultRowHeight="14.5" x14ac:dyDescent="0.35"/>
  <cols>
    <col min="1" max="1" width="8.6328125" bestFit="1" customWidth="1"/>
  </cols>
  <sheetData>
    <row r="1" spans="1:7" x14ac:dyDescent="0.35">
      <c r="A1" s="8"/>
      <c r="B1" s="7" t="s">
        <v>108</v>
      </c>
      <c r="C1" s="7" t="s">
        <v>109</v>
      </c>
      <c r="D1" s="7" t="s">
        <v>110</v>
      </c>
      <c r="E1" s="7" t="s">
        <v>111</v>
      </c>
      <c r="F1" s="7" t="s">
        <v>112</v>
      </c>
    </row>
    <row r="2" spans="1:7" x14ac:dyDescent="0.35">
      <c r="A2" s="8" t="s">
        <v>114</v>
      </c>
      <c r="B2" s="8">
        <v>1</v>
      </c>
      <c r="C2" s="8">
        <v>3.8899999999999997E-2</v>
      </c>
      <c r="D2" s="8">
        <v>3.8920000000000003E-2</v>
      </c>
      <c r="E2" s="8">
        <v>4.74</v>
      </c>
      <c r="F2" s="35">
        <v>3.39E-2</v>
      </c>
      <c r="G2" t="s">
        <v>113</v>
      </c>
    </row>
    <row r="3" spans="1:7" x14ac:dyDescent="0.35">
      <c r="A3" s="8" t="s">
        <v>97</v>
      </c>
      <c r="B3" s="8">
        <v>54</v>
      </c>
      <c r="C3" s="8">
        <v>0.44330000000000003</v>
      </c>
      <c r="D3" s="8">
        <v>8.2100000000000003E-3</v>
      </c>
      <c r="E3" s="8"/>
      <c r="F3" s="8"/>
    </row>
    <row r="4" spans="1:7" x14ac:dyDescent="0.35">
      <c r="A4" s="34"/>
    </row>
    <row r="5" spans="1:7" x14ac:dyDescent="0.35">
      <c r="A5" s="34" t="s">
        <v>107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B8BA-683B-40A1-BCD2-614529E39FA7}">
  <dimension ref="A1:R57"/>
  <sheetViews>
    <sheetView workbookViewId="0">
      <selection activeCell="A2" sqref="A2"/>
    </sheetView>
  </sheetViews>
  <sheetFormatPr defaultRowHeight="14.5" x14ac:dyDescent="0.35"/>
  <cols>
    <col min="1" max="1" width="12.54296875" customWidth="1"/>
    <col min="2" max="2" width="13.54296875" customWidth="1"/>
    <col min="12" max="12" width="9.90625" customWidth="1"/>
  </cols>
  <sheetData>
    <row r="1" spans="1:18" ht="15" thickBot="1" x14ac:dyDescent="0.4">
      <c r="A1" s="25" t="s">
        <v>115</v>
      </c>
      <c r="B1" s="25" t="s">
        <v>3</v>
      </c>
    </row>
    <row r="2" spans="1:18" ht="15" thickBot="1" x14ac:dyDescent="0.4">
      <c r="A2" s="3" t="s">
        <v>65</v>
      </c>
      <c r="B2" s="9">
        <v>0.20449999999999999</v>
      </c>
    </row>
    <row r="3" spans="1:18" ht="15" thickBot="1" x14ac:dyDescent="0.4">
      <c r="A3" s="3" t="s">
        <v>65</v>
      </c>
      <c r="B3" s="9">
        <v>0.23080000000000001</v>
      </c>
      <c r="L3" s="8"/>
      <c r="M3" s="7" t="s">
        <v>108</v>
      </c>
      <c r="N3" s="7" t="s">
        <v>109</v>
      </c>
      <c r="O3" s="7" t="s">
        <v>110</v>
      </c>
      <c r="P3" s="7" t="s">
        <v>111</v>
      </c>
      <c r="Q3" s="7" t="s">
        <v>112</v>
      </c>
    </row>
    <row r="4" spans="1:18" ht="15" thickBot="1" x14ac:dyDescent="0.4">
      <c r="A4" s="3" t="s">
        <v>64</v>
      </c>
      <c r="B4" s="9">
        <v>3.85E-2</v>
      </c>
      <c r="L4" s="36" t="s">
        <v>116</v>
      </c>
      <c r="M4" s="8">
        <v>2</v>
      </c>
      <c r="N4" s="8">
        <v>4.7899999999999998E-2</v>
      </c>
      <c r="O4" s="8">
        <v>2.3942000000000001E-2</v>
      </c>
      <c r="P4" s="8">
        <v>2.9209999999999998</v>
      </c>
      <c r="Q4" s="8">
        <v>6.2600000000000003E-2</v>
      </c>
      <c r="R4" t="s">
        <v>117</v>
      </c>
    </row>
    <row r="5" spans="1:18" ht="15" thickBot="1" x14ac:dyDescent="0.4">
      <c r="A5" s="3" t="s">
        <v>66</v>
      </c>
      <c r="B5" s="9">
        <v>0.1026</v>
      </c>
      <c r="L5" s="8" t="s">
        <v>97</v>
      </c>
      <c r="M5" s="8">
        <v>53</v>
      </c>
      <c r="N5" s="8">
        <v>0.43440000000000001</v>
      </c>
      <c r="O5" s="8">
        <v>8.1960000000000002E-3</v>
      </c>
      <c r="P5" s="8"/>
      <c r="Q5" s="8"/>
    </row>
    <row r="6" spans="1:18" ht="15" thickBot="1" x14ac:dyDescent="0.4">
      <c r="A6" s="3" t="s">
        <v>66</v>
      </c>
      <c r="B6" s="9">
        <v>7.4999999999999997E-2</v>
      </c>
    </row>
    <row r="7" spans="1:18" ht="15" thickBot="1" x14ac:dyDescent="0.4">
      <c r="A7" s="3" t="s">
        <v>65</v>
      </c>
      <c r="B7" s="9">
        <v>3.2300000000000002E-2</v>
      </c>
    </row>
    <row r="8" spans="1:18" ht="15" thickBot="1" x14ac:dyDescent="0.4">
      <c r="A8" s="3" t="s">
        <v>64</v>
      </c>
      <c r="B8" s="9">
        <v>2.3300000000000001E-2</v>
      </c>
    </row>
    <row r="9" spans="1:18" ht="15" thickBot="1" x14ac:dyDescent="0.4">
      <c r="A9" s="3" t="s">
        <v>66</v>
      </c>
      <c r="B9" s="9">
        <v>8.3299999999999999E-2</v>
      </c>
    </row>
    <row r="10" spans="1:18" ht="15" thickBot="1" x14ac:dyDescent="0.4">
      <c r="A10" s="3" t="s">
        <v>65</v>
      </c>
      <c r="B10" s="9">
        <v>0.04</v>
      </c>
    </row>
    <row r="11" spans="1:18" ht="15" thickBot="1" x14ac:dyDescent="0.4">
      <c r="A11" s="3" t="s">
        <v>64</v>
      </c>
      <c r="B11" s="9">
        <v>0.3</v>
      </c>
      <c r="L11" s="34" t="s">
        <v>118</v>
      </c>
    </row>
    <row r="12" spans="1:18" ht="15" thickBot="1" x14ac:dyDescent="0.4">
      <c r="A12" s="3" t="s">
        <v>65</v>
      </c>
      <c r="B12" s="9">
        <v>9.5200000000000007E-2</v>
      </c>
      <c r="L12" s="34" t="s">
        <v>119</v>
      </c>
    </row>
    <row r="13" spans="1:18" ht="15" thickBot="1" x14ac:dyDescent="0.4">
      <c r="A13" s="3" t="s">
        <v>66</v>
      </c>
      <c r="B13" s="9">
        <v>8.5099999999999995E-2</v>
      </c>
      <c r="L13" s="33"/>
    </row>
    <row r="14" spans="1:18" ht="15" thickBot="1" x14ac:dyDescent="0.4">
      <c r="A14" s="3" t="s">
        <v>65</v>
      </c>
      <c r="B14" s="9">
        <v>0.1429</v>
      </c>
      <c r="L14" s="34" t="s">
        <v>120</v>
      </c>
    </row>
    <row r="15" spans="1:18" ht="15" thickBot="1" x14ac:dyDescent="0.4">
      <c r="A15" s="3" t="s">
        <v>65</v>
      </c>
      <c r="B15" s="9">
        <v>2.0400000000000001E-2</v>
      </c>
      <c r="L15" s="33"/>
    </row>
    <row r="16" spans="1:18" ht="15" thickBot="1" x14ac:dyDescent="0.4">
      <c r="A16" s="3" t="s">
        <v>66</v>
      </c>
      <c r="B16" s="9">
        <v>9.7600000000000006E-2</v>
      </c>
      <c r="L16" s="34" t="s">
        <v>121</v>
      </c>
    </row>
    <row r="17" spans="1:12" ht="15" thickBot="1" x14ac:dyDescent="0.4">
      <c r="A17" s="3" t="s">
        <v>66</v>
      </c>
      <c r="B17" s="9">
        <v>3.4500000000000003E-2</v>
      </c>
      <c r="L17" s="34" t="s">
        <v>122</v>
      </c>
    </row>
    <row r="18" spans="1:12" ht="15" thickBot="1" x14ac:dyDescent="0.4">
      <c r="A18" s="3" t="s">
        <v>65</v>
      </c>
      <c r="B18" s="9">
        <v>2.9399999999999999E-2</v>
      </c>
      <c r="L18" s="34" t="s">
        <v>123</v>
      </c>
    </row>
    <row r="19" spans="1:12" ht="15" thickBot="1" x14ac:dyDescent="0.4">
      <c r="A19" s="3" t="s">
        <v>64</v>
      </c>
      <c r="B19" s="9">
        <v>0</v>
      </c>
      <c r="L19" s="34" t="s">
        <v>124</v>
      </c>
    </row>
    <row r="20" spans="1:12" ht="15" thickBot="1" x14ac:dyDescent="0.4">
      <c r="A20" s="3" t="s">
        <v>65</v>
      </c>
      <c r="B20" s="9">
        <v>6.6699999999999995E-2</v>
      </c>
      <c r="L20" s="34" t="s">
        <v>125</v>
      </c>
    </row>
    <row r="21" spans="1:12" ht="15" thickBot="1" x14ac:dyDescent="0.4">
      <c r="A21" s="3" t="s">
        <v>65</v>
      </c>
      <c r="B21" s="9">
        <v>9.3799999999999994E-2</v>
      </c>
    </row>
    <row r="22" spans="1:12" ht="15" thickBot="1" x14ac:dyDescent="0.4">
      <c r="A22" s="3" t="s">
        <v>65</v>
      </c>
      <c r="B22" s="9">
        <v>0</v>
      </c>
    </row>
    <row r="23" spans="1:12" ht="15" thickBot="1" x14ac:dyDescent="0.4">
      <c r="A23" s="3" t="s">
        <v>65</v>
      </c>
      <c r="B23" s="9">
        <v>0</v>
      </c>
    </row>
    <row r="24" spans="1:12" ht="15" thickBot="1" x14ac:dyDescent="0.4">
      <c r="A24" s="3" t="s">
        <v>65</v>
      </c>
      <c r="B24" s="9">
        <v>0</v>
      </c>
    </row>
    <row r="25" spans="1:12" ht="15" thickBot="1" x14ac:dyDescent="0.4">
      <c r="A25" s="3" t="s">
        <v>66</v>
      </c>
      <c r="B25" s="9">
        <v>0.15790000000000001</v>
      </c>
    </row>
    <row r="26" spans="1:12" ht="15" thickBot="1" x14ac:dyDescent="0.4">
      <c r="A26" s="3" t="s">
        <v>64</v>
      </c>
      <c r="B26" s="9">
        <v>0.4194</v>
      </c>
    </row>
    <row r="27" spans="1:12" ht="15" thickBot="1" x14ac:dyDescent="0.4">
      <c r="A27" s="3" t="s">
        <v>65</v>
      </c>
      <c r="B27" s="9">
        <v>0.26669999999999999</v>
      </c>
    </row>
    <row r="28" spans="1:12" ht="15" thickBot="1" x14ac:dyDescent="0.4">
      <c r="A28" s="3" t="s">
        <v>66</v>
      </c>
      <c r="B28" s="9">
        <v>2.3300000000000001E-2</v>
      </c>
    </row>
    <row r="29" spans="1:12" ht="15" thickBot="1" x14ac:dyDescent="0.4">
      <c r="A29" s="3" t="s">
        <v>65</v>
      </c>
      <c r="B29" s="9">
        <v>2.63E-2</v>
      </c>
    </row>
    <row r="30" spans="1:12" ht="15" thickBot="1" x14ac:dyDescent="0.4">
      <c r="A30" s="3" t="s">
        <v>66</v>
      </c>
      <c r="B30" s="9">
        <v>5.1299999999999998E-2</v>
      </c>
    </row>
    <row r="31" spans="1:12" ht="15" thickBot="1" x14ac:dyDescent="0.4">
      <c r="A31" s="3" t="s">
        <v>66</v>
      </c>
      <c r="B31" s="9">
        <v>9.0899999999999995E-2</v>
      </c>
    </row>
    <row r="32" spans="1:12" ht="15" thickBot="1" x14ac:dyDescent="0.4">
      <c r="A32" s="3" t="s">
        <v>65</v>
      </c>
      <c r="B32" s="9">
        <v>3.3300000000000003E-2</v>
      </c>
    </row>
    <row r="33" spans="1:2" ht="15" thickBot="1" x14ac:dyDescent="0.4">
      <c r="A33" s="3" t="s">
        <v>66</v>
      </c>
      <c r="B33" s="9">
        <v>0.2051</v>
      </c>
    </row>
    <row r="34" spans="1:2" ht="15" thickBot="1" x14ac:dyDescent="0.4">
      <c r="A34" s="3" t="s">
        <v>65</v>
      </c>
      <c r="B34" s="9">
        <v>0</v>
      </c>
    </row>
    <row r="35" spans="1:2" ht="15" thickBot="1" x14ac:dyDescent="0.4">
      <c r="A35" s="3" t="s">
        <v>66</v>
      </c>
      <c r="B35" s="9">
        <v>6.5199999999999994E-2</v>
      </c>
    </row>
    <row r="36" spans="1:2" ht="15" thickBot="1" x14ac:dyDescent="0.4">
      <c r="A36" s="3" t="s">
        <v>65</v>
      </c>
      <c r="B36" s="9">
        <v>0</v>
      </c>
    </row>
    <row r="37" spans="1:2" ht="15" thickBot="1" x14ac:dyDescent="0.4">
      <c r="A37" s="3" t="s">
        <v>66</v>
      </c>
      <c r="B37" s="9">
        <v>1.9199999999999998E-2</v>
      </c>
    </row>
    <row r="38" spans="1:2" ht="15" thickBot="1" x14ac:dyDescent="0.4">
      <c r="A38" s="3" t="s">
        <v>65</v>
      </c>
      <c r="B38" s="9">
        <v>0</v>
      </c>
    </row>
    <row r="39" spans="1:2" ht="15" thickBot="1" x14ac:dyDescent="0.4">
      <c r="A39" s="3" t="s">
        <v>65</v>
      </c>
      <c r="B39" s="9">
        <v>2.4400000000000002E-2</v>
      </c>
    </row>
    <row r="40" spans="1:2" ht="15" thickBot="1" x14ac:dyDescent="0.4">
      <c r="A40" s="3" t="s">
        <v>64</v>
      </c>
      <c r="B40" s="9">
        <v>0</v>
      </c>
    </row>
    <row r="41" spans="1:2" ht="15" thickBot="1" x14ac:dyDescent="0.4">
      <c r="A41" s="3" t="s">
        <v>66</v>
      </c>
      <c r="B41" s="9">
        <v>0.33329999999999999</v>
      </c>
    </row>
    <row r="42" spans="1:2" ht="15" thickBot="1" x14ac:dyDescent="0.4">
      <c r="A42" s="3" t="s">
        <v>65</v>
      </c>
      <c r="B42" s="9">
        <v>0</v>
      </c>
    </row>
    <row r="43" spans="1:2" ht="15" thickBot="1" x14ac:dyDescent="0.4">
      <c r="A43" s="3" t="s">
        <v>66</v>
      </c>
      <c r="B43" s="9">
        <v>7.1400000000000005E-2</v>
      </c>
    </row>
    <row r="44" spans="1:2" ht="15" thickBot="1" x14ac:dyDescent="0.4">
      <c r="A44" s="3" t="s">
        <v>66</v>
      </c>
      <c r="B44" s="9">
        <v>2.63E-2</v>
      </c>
    </row>
    <row r="45" spans="1:2" ht="15" thickBot="1" x14ac:dyDescent="0.4">
      <c r="A45" s="3" t="s">
        <v>65</v>
      </c>
      <c r="B45" s="9">
        <v>2.0799999999999999E-2</v>
      </c>
    </row>
    <row r="46" spans="1:2" ht="15" thickBot="1" x14ac:dyDescent="0.4">
      <c r="A46" s="3" t="s">
        <v>66</v>
      </c>
      <c r="B46" s="9">
        <v>0.2</v>
      </c>
    </row>
    <row r="47" spans="1:2" ht="15" thickBot="1" x14ac:dyDescent="0.4">
      <c r="A47" s="3" t="s">
        <v>65</v>
      </c>
      <c r="B47" s="9">
        <v>0</v>
      </c>
    </row>
    <row r="48" spans="1:2" ht="15" thickBot="1" x14ac:dyDescent="0.4">
      <c r="A48" s="3" t="s">
        <v>65</v>
      </c>
      <c r="B48" s="9">
        <v>2.0799999999999999E-2</v>
      </c>
    </row>
    <row r="49" spans="1:2" ht="15" thickBot="1" x14ac:dyDescent="0.4">
      <c r="A49" s="3" t="s">
        <v>66</v>
      </c>
      <c r="B49" s="9">
        <v>9.0899999999999995E-2</v>
      </c>
    </row>
    <row r="50" spans="1:2" ht="15" thickBot="1" x14ac:dyDescent="0.4">
      <c r="A50" s="3" t="s">
        <v>65</v>
      </c>
      <c r="B50" s="9">
        <v>0</v>
      </c>
    </row>
    <row r="51" spans="1:2" ht="15" thickBot="1" x14ac:dyDescent="0.4">
      <c r="A51" s="3" t="s">
        <v>66</v>
      </c>
      <c r="B51" s="9">
        <v>4.0800000000000003E-2</v>
      </c>
    </row>
    <row r="52" spans="1:2" ht="15" thickBot="1" x14ac:dyDescent="0.4">
      <c r="A52" s="3" t="s">
        <v>64</v>
      </c>
      <c r="B52" s="9">
        <v>8.6999999999999994E-2</v>
      </c>
    </row>
    <row r="53" spans="1:2" ht="15" thickBot="1" x14ac:dyDescent="0.4">
      <c r="A53" s="3" t="s">
        <v>65</v>
      </c>
      <c r="B53" s="9">
        <v>3.2300000000000002E-2</v>
      </c>
    </row>
    <row r="54" spans="1:2" ht="15" thickBot="1" x14ac:dyDescent="0.4">
      <c r="A54" s="3" t="s">
        <v>65</v>
      </c>
      <c r="B54" s="9">
        <v>3.5700000000000003E-2</v>
      </c>
    </row>
    <row r="55" spans="1:2" ht="15" thickBot="1" x14ac:dyDescent="0.4">
      <c r="A55" s="3" t="s">
        <v>66</v>
      </c>
      <c r="B55" s="9">
        <v>0.20749999999999999</v>
      </c>
    </row>
    <row r="56" spans="1:2" ht="15" thickBot="1" x14ac:dyDescent="0.4">
      <c r="A56" s="3" t="s">
        <v>65</v>
      </c>
      <c r="B56" s="9">
        <v>2.2700000000000001E-2</v>
      </c>
    </row>
    <row r="57" spans="1:2" ht="15" thickBot="1" x14ac:dyDescent="0.4">
      <c r="A57" s="3" t="s">
        <v>66</v>
      </c>
      <c r="B57" s="9">
        <v>0.1081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518B-DBE3-45A8-B297-5B2B48D763E3}">
  <dimension ref="A1:N57"/>
  <sheetViews>
    <sheetView topLeftCell="E1" workbookViewId="0">
      <selection activeCell="O16" sqref="O16"/>
    </sheetView>
  </sheetViews>
  <sheetFormatPr defaultRowHeight="14.5" x14ac:dyDescent="0.35"/>
  <cols>
    <col min="1" max="1" width="11.453125" customWidth="1"/>
    <col min="2" max="2" width="11.1796875" customWidth="1"/>
    <col min="3" max="3" width="14.1796875" customWidth="1"/>
    <col min="8" max="8" width="12.36328125" bestFit="1" customWidth="1"/>
    <col min="9" max="9" width="22.36328125" bestFit="1" customWidth="1"/>
    <col min="10" max="10" width="30" bestFit="1" customWidth="1"/>
    <col min="12" max="12" width="10.6328125" bestFit="1" customWidth="1"/>
    <col min="13" max="13" width="22.1796875" bestFit="1" customWidth="1"/>
    <col min="14" max="14" width="30" bestFit="1" customWidth="1"/>
  </cols>
  <sheetData>
    <row r="1" spans="1:14" ht="26.5" thickBot="1" x14ac:dyDescent="0.4">
      <c r="A1" s="25" t="s">
        <v>56</v>
      </c>
      <c r="B1" s="25" t="s">
        <v>115</v>
      </c>
      <c r="C1" s="25" t="s">
        <v>3</v>
      </c>
    </row>
    <row r="2" spans="1:14" ht="15" thickBot="1" x14ac:dyDescent="0.4">
      <c r="A2" s="24" t="s">
        <v>57</v>
      </c>
      <c r="B2" s="3" t="s">
        <v>65</v>
      </c>
      <c r="C2" s="9">
        <v>0.20449999999999999</v>
      </c>
    </row>
    <row r="3" spans="1:14" ht="15" thickBot="1" x14ac:dyDescent="0.4">
      <c r="A3" s="24" t="s">
        <v>58</v>
      </c>
      <c r="B3" s="3" t="s">
        <v>65</v>
      </c>
      <c r="C3" s="9">
        <v>0.23080000000000001</v>
      </c>
      <c r="H3" s="38" t="s">
        <v>59</v>
      </c>
      <c r="I3" s="8" t="s">
        <v>61</v>
      </c>
      <c r="J3" s="39" t="s">
        <v>126</v>
      </c>
      <c r="L3" t="s">
        <v>59</v>
      </c>
      <c r="M3" t="s">
        <v>61</v>
      </c>
      <c r="N3" t="s">
        <v>126</v>
      </c>
    </row>
    <row r="4" spans="1:14" ht="15" thickBot="1" x14ac:dyDescent="0.4">
      <c r="A4" s="24" t="s">
        <v>58</v>
      </c>
      <c r="B4" s="3" t="s">
        <v>64</v>
      </c>
      <c r="C4" s="9">
        <v>3.85E-2</v>
      </c>
      <c r="H4" s="40" t="s">
        <v>57</v>
      </c>
      <c r="I4" s="41">
        <v>0.10448</v>
      </c>
      <c r="J4" s="8" t="s">
        <v>131</v>
      </c>
      <c r="L4" t="s">
        <v>57</v>
      </c>
      <c r="M4">
        <v>0.10448</v>
      </c>
      <c r="N4" t="s">
        <v>131</v>
      </c>
    </row>
    <row r="5" spans="1:14" ht="15" thickBot="1" x14ac:dyDescent="0.4">
      <c r="A5" s="24" t="s">
        <v>58</v>
      </c>
      <c r="B5" s="3" t="s">
        <v>66</v>
      </c>
      <c r="C5" s="9">
        <v>0.1026</v>
      </c>
      <c r="H5" s="42" t="s">
        <v>66</v>
      </c>
      <c r="I5" s="41">
        <v>0.13038181818181818</v>
      </c>
      <c r="J5" s="8" t="s">
        <v>127</v>
      </c>
      <c r="L5" t="s">
        <v>66</v>
      </c>
      <c r="M5">
        <v>0.13038181818181818</v>
      </c>
      <c r="N5" t="s">
        <v>127</v>
      </c>
    </row>
    <row r="6" spans="1:14" ht="15" thickBot="1" x14ac:dyDescent="0.4">
      <c r="A6" s="24" t="s">
        <v>58</v>
      </c>
      <c r="B6" s="3" t="s">
        <v>66</v>
      </c>
      <c r="C6" s="9">
        <v>7.4999999999999997E-2</v>
      </c>
      <c r="H6" s="42" t="s">
        <v>64</v>
      </c>
      <c r="I6" s="41">
        <v>0.20742499999999997</v>
      </c>
      <c r="J6" s="8" t="s">
        <v>128</v>
      </c>
      <c r="L6" t="s">
        <v>64</v>
      </c>
      <c r="M6">
        <v>0.20742499999999997</v>
      </c>
      <c r="N6" t="s">
        <v>128</v>
      </c>
    </row>
    <row r="7" spans="1:14" ht="15" thickBot="1" x14ac:dyDescent="0.4">
      <c r="A7" s="24" t="s">
        <v>57</v>
      </c>
      <c r="B7" s="3" t="s">
        <v>65</v>
      </c>
      <c r="C7" s="9">
        <v>3.2300000000000002E-2</v>
      </c>
      <c r="H7" s="42" t="s">
        <v>65</v>
      </c>
      <c r="I7" s="41">
        <v>5.8033333333333333E-2</v>
      </c>
      <c r="J7" s="8" t="s">
        <v>129</v>
      </c>
      <c r="L7" t="s">
        <v>65</v>
      </c>
      <c r="M7">
        <v>5.8033333333333333E-2</v>
      </c>
      <c r="N7" t="s">
        <v>129</v>
      </c>
    </row>
    <row r="8" spans="1:14" ht="15" thickBot="1" x14ac:dyDescent="0.4">
      <c r="A8" s="24" t="s">
        <v>57</v>
      </c>
      <c r="B8" s="3" t="s">
        <v>64</v>
      </c>
      <c r="C8" s="9">
        <v>2.3300000000000001E-2</v>
      </c>
      <c r="H8" s="40" t="s">
        <v>58</v>
      </c>
      <c r="I8" s="41">
        <v>5.1619230769230771E-2</v>
      </c>
      <c r="J8" s="8"/>
      <c r="K8" s="37"/>
      <c r="L8" t="s">
        <v>58</v>
      </c>
      <c r="M8">
        <v>5.1619230769230771E-2</v>
      </c>
    </row>
    <row r="9" spans="1:14" ht="15" thickBot="1" x14ac:dyDescent="0.4">
      <c r="A9" s="24" t="s">
        <v>57</v>
      </c>
      <c r="B9" s="3" t="s">
        <v>66</v>
      </c>
      <c r="C9" s="9">
        <v>8.3299999999999999E-2</v>
      </c>
      <c r="H9" s="42" t="s">
        <v>66</v>
      </c>
      <c r="I9" s="41">
        <v>7.3509999999999992E-2</v>
      </c>
      <c r="J9" s="8" t="s">
        <v>127</v>
      </c>
      <c r="L9" t="s">
        <v>66</v>
      </c>
      <c r="M9">
        <v>7.3509999999999992E-2</v>
      </c>
      <c r="N9" t="s">
        <v>127</v>
      </c>
    </row>
    <row r="10" spans="1:14" ht="15" thickBot="1" x14ac:dyDescent="0.4">
      <c r="A10" s="24" t="s">
        <v>58</v>
      </c>
      <c r="B10" s="3" t="s">
        <v>65</v>
      </c>
      <c r="C10" s="9">
        <v>0.04</v>
      </c>
      <c r="H10" s="42" t="s">
        <v>64</v>
      </c>
      <c r="I10" s="41">
        <v>1.2833333333333334E-2</v>
      </c>
      <c r="J10" s="8" t="s">
        <v>130</v>
      </c>
      <c r="L10" t="s">
        <v>64</v>
      </c>
      <c r="M10">
        <v>1.2833333333333334E-2</v>
      </c>
      <c r="N10" t="s">
        <v>130</v>
      </c>
    </row>
    <row r="11" spans="1:14" ht="15" thickBot="1" x14ac:dyDescent="0.4">
      <c r="A11" s="24" t="s">
        <v>57</v>
      </c>
      <c r="B11" s="3" t="s">
        <v>64</v>
      </c>
      <c r="C11" s="9">
        <v>0.3</v>
      </c>
      <c r="H11" s="42" t="s">
        <v>65</v>
      </c>
      <c r="I11" s="41">
        <v>4.3730769230769233E-2</v>
      </c>
      <c r="J11" s="8" t="s">
        <v>129</v>
      </c>
      <c r="L11" t="s">
        <v>65</v>
      </c>
      <c r="M11">
        <v>4.3730769230769233E-2</v>
      </c>
      <c r="N11" t="s">
        <v>129</v>
      </c>
    </row>
    <row r="12" spans="1:14" ht="15" thickBot="1" x14ac:dyDescent="0.4">
      <c r="A12" s="24" t="s">
        <v>58</v>
      </c>
      <c r="B12" s="3" t="s">
        <v>65</v>
      </c>
      <c r="C12" s="9">
        <v>9.5200000000000007E-2</v>
      </c>
      <c r="H12" s="40" t="s">
        <v>60</v>
      </c>
      <c r="I12" s="41">
        <v>7.9937500000000009E-2</v>
      </c>
      <c r="J12" s="8" t="s">
        <v>132</v>
      </c>
      <c r="L12" t="s">
        <v>60</v>
      </c>
      <c r="M12">
        <v>7.9937500000000009E-2</v>
      </c>
      <c r="N12" t="s">
        <v>132</v>
      </c>
    </row>
    <row r="13" spans="1:14" ht="15" thickBot="1" x14ac:dyDescent="0.4">
      <c r="A13" s="24" t="s">
        <v>57</v>
      </c>
      <c r="B13" s="3" t="s">
        <v>66</v>
      </c>
      <c r="C13" s="9">
        <v>8.5099999999999995E-2</v>
      </c>
    </row>
    <row r="14" spans="1:14" ht="15" thickBot="1" x14ac:dyDescent="0.4">
      <c r="A14" s="24" t="s">
        <v>57</v>
      </c>
      <c r="B14" s="3" t="s">
        <v>65</v>
      </c>
      <c r="C14" s="9">
        <v>0.1429</v>
      </c>
    </row>
    <row r="15" spans="1:14" ht="15" thickBot="1" x14ac:dyDescent="0.4">
      <c r="A15" s="24" t="s">
        <v>58</v>
      </c>
      <c r="B15" s="3" t="s">
        <v>65</v>
      </c>
      <c r="C15" s="9">
        <v>2.0400000000000001E-2</v>
      </c>
      <c r="H15" s="7" t="s">
        <v>133</v>
      </c>
      <c r="I15" s="7" t="s">
        <v>57</v>
      </c>
      <c r="J15" s="7" t="s">
        <v>58</v>
      </c>
    </row>
    <row r="16" spans="1:14" ht="15" thickBot="1" x14ac:dyDescent="0.4">
      <c r="A16" s="24" t="s">
        <v>57</v>
      </c>
      <c r="B16" s="3" t="s">
        <v>66</v>
      </c>
      <c r="C16" s="9">
        <v>9.7600000000000006E-2</v>
      </c>
      <c r="H16" s="8" t="s">
        <v>64</v>
      </c>
      <c r="I16" s="41">
        <v>0.20742499999999997</v>
      </c>
      <c r="J16" s="41">
        <v>1.2833333333333334E-2</v>
      </c>
    </row>
    <row r="17" spans="1:10" ht="15" thickBot="1" x14ac:dyDescent="0.4">
      <c r="A17" s="24" t="s">
        <v>58</v>
      </c>
      <c r="B17" s="3" t="s">
        <v>66</v>
      </c>
      <c r="C17" s="9">
        <v>3.4500000000000003E-2</v>
      </c>
      <c r="H17" s="8" t="s">
        <v>65</v>
      </c>
      <c r="I17" s="41">
        <v>5.8033333333333333E-2</v>
      </c>
      <c r="J17" s="41">
        <v>4.3730769230769233E-2</v>
      </c>
    </row>
    <row r="18" spans="1:10" ht="15" thickBot="1" x14ac:dyDescent="0.4">
      <c r="A18" s="24" t="s">
        <v>57</v>
      </c>
      <c r="B18" s="3" t="s">
        <v>65</v>
      </c>
      <c r="C18" s="9">
        <v>2.9399999999999999E-2</v>
      </c>
      <c r="H18" s="8" t="s">
        <v>66</v>
      </c>
      <c r="I18" s="41">
        <v>0.13038181818181818</v>
      </c>
      <c r="J18" s="41">
        <v>7.3509999999999992E-2</v>
      </c>
    </row>
    <row r="19" spans="1:10" ht="15" thickBot="1" x14ac:dyDescent="0.4">
      <c r="A19" s="24" t="s">
        <v>58</v>
      </c>
      <c r="B19" s="3" t="s">
        <v>64</v>
      </c>
      <c r="C19" s="9">
        <v>0</v>
      </c>
    </row>
    <row r="20" spans="1:10" ht="15" thickBot="1" x14ac:dyDescent="0.4">
      <c r="A20" s="24" t="s">
        <v>57</v>
      </c>
      <c r="B20" s="3" t="s">
        <v>65</v>
      </c>
      <c r="C20" s="9">
        <v>6.6699999999999995E-2</v>
      </c>
    </row>
    <row r="21" spans="1:10" ht="15" thickBot="1" x14ac:dyDescent="0.4">
      <c r="A21" s="24" t="s">
        <v>58</v>
      </c>
      <c r="B21" s="3" t="s">
        <v>65</v>
      </c>
      <c r="C21" s="9">
        <v>9.3799999999999994E-2</v>
      </c>
    </row>
    <row r="22" spans="1:10" ht="15" thickBot="1" x14ac:dyDescent="0.4">
      <c r="A22" s="24" t="s">
        <v>58</v>
      </c>
      <c r="B22" s="3" t="s">
        <v>65</v>
      </c>
      <c r="C22" s="9">
        <v>0</v>
      </c>
    </row>
    <row r="23" spans="1:10" ht="15" thickBot="1" x14ac:dyDescent="0.4">
      <c r="A23" s="24" t="s">
        <v>57</v>
      </c>
      <c r="B23" s="3" t="s">
        <v>65</v>
      </c>
      <c r="C23" s="9">
        <v>0</v>
      </c>
    </row>
    <row r="24" spans="1:10" ht="15" thickBot="1" x14ac:dyDescent="0.4">
      <c r="A24" s="24" t="s">
        <v>57</v>
      </c>
      <c r="B24" s="3" t="s">
        <v>65</v>
      </c>
      <c r="C24" s="9">
        <v>0</v>
      </c>
    </row>
    <row r="25" spans="1:10" ht="15" thickBot="1" x14ac:dyDescent="0.4">
      <c r="A25" s="24" t="s">
        <v>58</v>
      </c>
      <c r="B25" s="3" t="s">
        <v>66</v>
      </c>
      <c r="C25" s="9">
        <v>0.15790000000000001</v>
      </c>
    </row>
    <row r="26" spans="1:10" ht="15" thickBot="1" x14ac:dyDescent="0.4">
      <c r="A26" s="24" t="s">
        <v>57</v>
      </c>
      <c r="B26" s="3" t="s">
        <v>64</v>
      </c>
      <c r="C26" s="9">
        <v>0.4194</v>
      </c>
    </row>
    <row r="27" spans="1:10" ht="15" thickBot="1" x14ac:dyDescent="0.4">
      <c r="A27" s="24" t="s">
        <v>57</v>
      </c>
      <c r="B27" s="3" t="s">
        <v>65</v>
      </c>
      <c r="C27" s="9">
        <v>0.26669999999999999</v>
      </c>
    </row>
    <row r="28" spans="1:10" ht="15" thickBot="1" x14ac:dyDescent="0.4">
      <c r="A28" s="24" t="s">
        <v>58</v>
      </c>
      <c r="B28" s="3" t="s">
        <v>66</v>
      </c>
      <c r="C28" s="9">
        <v>2.3300000000000001E-2</v>
      </c>
    </row>
    <row r="29" spans="1:10" ht="15" thickBot="1" x14ac:dyDescent="0.4">
      <c r="A29" s="24" t="s">
        <v>57</v>
      </c>
      <c r="B29" s="3" t="s">
        <v>65</v>
      </c>
      <c r="C29" s="9">
        <v>2.63E-2</v>
      </c>
    </row>
    <row r="30" spans="1:10" ht="15" thickBot="1" x14ac:dyDescent="0.4">
      <c r="A30" s="24" t="s">
        <v>58</v>
      </c>
      <c r="B30" s="3" t="s">
        <v>66</v>
      </c>
      <c r="C30" s="9">
        <v>5.1299999999999998E-2</v>
      </c>
    </row>
    <row r="31" spans="1:10" ht="15" thickBot="1" x14ac:dyDescent="0.4">
      <c r="A31" s="24" t="s">
        <v>57</v>
      </c>
      <c r="B31" s="3" t="s">
        <v>66</v>
      </c>
      <c r="C31" s="9">
        <v>9.0899999999999995E-2</v>
      </c>
    </row>
    <row r="32" spans="1:10" ht="15" thickBot="1" x14ac:dyDescent="0.4">
      <c r="A32" s="24" t="s">
        <v>58</v>
      </c>
      <c r="B32" s="3" t="s">
        <v>65</v>
      </c>
      <c r="C32" s="9">
        <v>3.3300000000000003E-2</v>
      </c>
    </row>
    <row r="33" spans="1:3" ht="15" thickBot="1" x14ac:dyDescent="0.4">
      <c r="A33" s="24" t="s">
        <v>57</v>
      </c>
      <c r="B33" s="3" t="s">
        <v>66</v>
      </c>
      <c r="C33" s="9">
        <v>0.2051</v>
      </c>
    </row>
    <row r="34" spans="1:3" ht="15" thickBot="1" x14ac:dyDescent="0.4">
      <c r="A34" s="24" t="s">
        <v>58</v>
      </c>
      <c r="B34" s="3" t="s">
        <v>65</v>
      </c>
      <c r="C34" s="9">
        <v>0</v>
      </c>
    </row>
    <row r="35" spans="1:3" ht="15" thickBot="1" x14ac:dyDescent="0.4">
      <c r="A35" s="24" t="s">
        <v>58</v>
      </c>
      <c r="B35" s="3" t="s">
        <v>66</v>
      </c>
      <c r="C35" s="9">
        <v>6.5199999999999994E-2</v>
      </c>
    </row>
    <row r="36" spans="1:3" ht="15" thickBot="1" x14ac:dyDescent="0.4">
      <c r="A36" s="24" t="s">
        <v>57</v>
      </c>
      <c r="B36" s="3" t="s">
        <v>65</v>
      </c>
      <c r="C36" s="9">
        <v>0</v>
      </c>
    </row>
    <row r="37" spans="1:3" ht="15" thickBot="1" x14ac:dyDescent="0.4">
      <c r="A37" s="24" t="s">
        <v>57</v>
      </c>
      <c r="B37" s="3" t="s">
        <v>66</v>
      </c>
      <c r="C37" s="9">
        <v>1.9199999999999998E-2</v>
      </c>
    </row>
    <row r="38" spans="1:3" ht="15" thickBot="1" x14ac:dyDescent="0.4">
      <c r="A38" s="24" t="s">
        <v>58</v>
      </c>
      <c r="B38" s="3" t="s">
        <v>65</v>
      </c>
      <c r="C38" s="9">
        <v>0</v>
      </c>
    </row>
    <row r="39" spans="1:3" ht="15" thickBot="1" x14ac:dyDescent="0.4">
      <c r="A39" s="24" t="s">
        <v>57</v>
      </c>
      <c r="B39" s="3" t="s">
        <v>65</v>
      </c>
      <c r="C39" s="9">
        <v>2.4400000000000002E-2</v>
      </c>
    </row>
    <row r="40" spans="1:3" ht="15" thickBot="1" x14ac:dyDescent="0.4">
      <c r="A40" s="24" t="s">
        <v>58</v>
      </c>
      <c r="B40" s="3" t="s">
        <v>64</v>
      </c>
      <c r="C40" s="9">
        <v>0</v>
      </c>
    </row>
    <row r="41" spans="1:3" ht="15" thickBot="1" x14ac:dyDescent="0.4">
      <c r="A41" s="24" t="s">
        <v>57</v>
      </c>
      <c r="B41" s="3" t="s">
        <v>66</v>
      </c>
      <c r="C41" s="9">
        <v>0.33329999999999999</v>
      </c>
    </row>
    <row r="42" spans="1:3" ht="15" thickBot="1" x14ac:dyDescent="0.4">
      <c r="A42" s="24" t="s">
        <v>58</v>
      </c>
      <c r="B42" s="3" t="s">
        <v>65</v>
      </c>
      <c r="C42" s="9">
        <v>0</v>
      </c>
    </row>
    <row r="43" spans="1:3" ht="15" thickBot="1" x14ac:dyDescent="0.4">
      <c r="A43" s="24" t="s">
        <v>57</v>
      </c>
      <c r="B43" s="3" t="s">
        <v>66</v>
      </c>
      <c r="C43" s="9">
        <v>7.1400000000000005E-2</v>
      </c>
    </row>
    <row r="44" spans="1:3" ht="15" thickBot="1" x14ac:dyDescent="0.4">
      <c r="A44" s="24" t="s">
        <v>58</v>
      </c>
      <c r="B44" s="3" t="s">
        <v>66</v>
      </c>
      <c r="C44" s="9">
        <v>2.63E-2</v>
      </c>
    </row>
    <row r="45" spans="1:3" ht="15" thickBot="1" x14ac:dyDescent="0.4">
      <c r="A45" s="24" t="s">
        <v>57</v>
      </c>
      <c r="B45" s="3" t="s">
        <v>65</v>
      </c>
      <c r="C45" s="9">
        <v>2.0799999999999999E-2</v>
      </c>
    </row>
    <row r="46" spans="1:3" ht="15" thickBot="1" x14ac:dyDescent="0.4">
      <c r="A46" s="24" t="s">
        <v>57</v>
      </c>
      <c r="B46" s="3" t="s">
        <v>66</v>
      </c>
      <c r="C46" s="9">
        <v>0.2</v>
      </c>
    </row>
    <row r="47" spans="1:3" ht="15" thickBot="1" x14ac:dyDescent="0.4">
      <c r="A47" s="24" t="s">
        <v>58</v>
      </c>
      <c r="B47" s="3" t="s">
        <v>65</v>
      </c>
      <c r="C47" s="9">
        <v>0</v>
      </c>
    </row>
    <row r="48" spans="1:3" ht="15" thickBot="1" x14ac:dyDescent="0.4">
      <c r="A48" s="24" t="s">
        <v>57</v>
      </c>
      <c r="B48" s="3" t="s">
        <v>65</v>
      </c>
      <c r="C48" s="9">
        <v>2.0799999999999999E-2</v>
      </c>
    </row>
    <row r="49" spans="1:3" ht="15" thickBot="1" x14ac:dyDescent="0.4">
      <c r="A49" s="24" t="s">
        <v>58</v>
      </c>
      <c r="B49" s="3" t="s">
        <v>66</v>
      </c>
      <c r="C49" s="9">
        <v>9.0899999999999995E-2</v>
      </c>
    </row>
    <row r="50" spans="1:3" ht="15" thickBot="1" x14ac:dyDescent="0.4">
      <c r="A50" s="24" t="s">
        <v>57</v>
      </c>
      <c r="B50" s="3" t="s">
        <v>65</v>
      </c>
      <c r="C50" s="9">
        <v>0</v>
      </c>
    </row>
    <row r="51" spans="1:3" ht="15" thickBot="1" x14ac:dyDescent="0.4">
      <c r="A51" s="24" t="s">
        <v>57</v>
      </c>
      <c r="B51" s="3" t="s">
        <v>66</v>
      </c>
      <c r="C51" s="9">
        <v>4.0800000000000003E-2</v>
      </c>
    </row>
    <row r="52" spans="1:3" ht="15" thickBot="1" x14ac:dyDescent="0.4">
      <c r="A52" s="24" t="s">
        <v>57</v>
      </c>
      <c r="B52" s="3" t="s">
        <v>64</v>
      </c>
      <c r="C52" s="9">
        <v>8.6999999999999994E-2</v>
      </c>
    </row>
    <row r="53" spans="1:3" ht="15" thickBot="1" x14ac:dyDescent="0.4">
      <c r="A53" s="24" t="s">
        <v>58</v>
      </c>
      <c r="B53" s="3" t="s">
        <v>65</v>
      </c>
      <c r="C53" s="9">
        <v>3.2300000000000002E-2</v>
      </c>
    </row>
    <row r="54" spans="1:3" ht="15" thickBot="1" x14ac:dyDescent="0.4">
      <c r="A54" s="24" t="s">
        <v>57</v>
      </c>
      <c r="B54" s="3" t="s">
        <v>65</v>
      </c>
      <c r="C54" s="9">
        <v>3.5700000000000003E-2</v>
      </c>
    </row>
    <row r="55" spans="1:3" ht="15" thickBot="1" x14ac:dyDescent="0.4">
      <c r="A55" s="24" t="s">
        <v>57</v>
      </c>
      <c r="B55" s="3" t="s">
        <v>66</v>
      </c>
      <c r="C55" s="9">
        <v>0.20749999999999999</v>
      </c>
    </row>
    <row r="56" spans="1:3" ht="15" thickBot="1" x14ac:dyDescent="0.4">
      <c r="A56" s="24" t="s">
        <v>58</v>
      </c>
      <c r="B56" s="3" t="s">
        <v>65</v>
      </c>
      <c r="C56" s="9">
        <v>2.2700000000000001E-2</v>
      </c>
    </row>
    <row r="57" spans="1:3" ht="15" thickBot="1" x14ac:dyDescent="0.4">
      <c r="A57" s="24" t="s">
        <v>58</v>
      </c>
      <c r="B57" s="3" t="s">
        <v>66</v>
      </c>
      <c r="C57" s="9">
        <v>0.1081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84603-3865-41DE-B6DB-5A85610CCC11}">
  <dimension ref="A1:B57"/>
  <sheetViews>
    <sheetView workbookViewId="0">
      <selection activeCell="N52" sqref="N52"/>
    </sheetView>
  </sheetViews>
  <sheetFormatPr defaultRowHeight="14.5" x14ac:dyDescent="0.35"/>
  <sheetData>
    <row r="1" spans="1:2" ht="39.5" thickBot="1" x14ac:dyDescent="0.4">
      <c r="A1" s="25" t="s">
        <v>2</v>
      </c>
      <c r="B1" s="25" t="s">
        <v>3</v>
      </c>
    </row>
    <row r="2" spans="1:2" ht="15" thickBot="1" x14ac:dyDescent="0.4">
      <c r="A2" s="3">
        <v>44</v>
      </c>
      <c r="B2" s="4">
        <v>0.20449999999999999</v>
      </c>
    </row>
    <row r="3" spans="1:2" ht="15" thickBot="1" x14ac:dyDescent="0.4">
      <c r="A3" s="3">
        <v>39</v>
      </c>
      <c r="B3" s="4">
        <v>0.23080000000000001</v>
      </c>
    </row>
    <row r="4" spans="1:2" ht="15" thickBot="1" x14ac:dyDescent="0.4">
      <c r="A4" s="3">
        <v>26</v>
      </c>
      <c r="B4" s="4">
        <v>3.85E-2</v>
      </c>
    </row>
    <row r="5" spans="1:2" ht="15" thickBot="1" x14ac:dyDescent="0.4">
      <c r="A5" s="3">
        <v>39</v>
      </c>
      <c r="B5" s="4">
        <v>0.1026</v>
      </c>
    </row>
    <row r="6" spans="1:2" ht="15" thickBot="1" x14ac:dyDescent="0.4">
      <c r="A6" s="3">
        <v>40</v>
      </c>
      <c r="B6" s="4">
        <v>7.4999999999999997E-2</v>
      </c>
    </row>
    <row r="7" spans="1:2" ht="15" thickBot="1" x14ac:dyDescent="0.4">
      <c r="A7" s="3">
        <v>31</v>
      </c>
      <c r="B7" s="4">
        <v>3.2300000000000002E-2</v>
      </c>
    </row>
    <row r="8" spans="1:2" ht="15" thickBot="1" x14ac:dyDescent="0.4">
      <c r="A8" s="3">
        <v>43</v>
      </c>
      <c r="B8" s="4">
        <v>2.3300000000000001E-2</v>
      </c>
    </row>
    <row r="9" spans="1:2" ht="15" thickBot="1" x14ac:dyDescent="0.4">
      <c r="A9" s="3">
        <v>48</v>
      </c>
      <c r="B9" s="4">
        <v>8.3299999999999999E-2</v>
      </c>
    </row>
    <row r="10" spans="1:2" ht="15" thickBot="1" x14ac:dyDescent="0.4">
      <c r="A10" s="3">
        <v>25</v>
      </c>
      <c r="B10" s="4">
        <v>0.04</v>
      </c>
    </row>
    <row r="11" spans="1:2" ht="15" thickBot="1" x14ac:dyDescent="0.4">
      <c r="A11" s="3">
        <v>40</v>
      </c>
      <c r="B11" s="4">
        <v>0.3</v>
      </c>
    </row>
    <row r="12" spans="1:2" ht="15" thickBot="1" x14ac:dyDescent="0.4">
      <c r="A12" s="3">
        <v>42</v>
      </c>
      <c r="B12" s="4">
        <v>9.5200000000000007E-2</v>
      </c>
    </row>
    <row r="13" spans="1:2" ht="15" thickBot="1" x14ac:dyDescent="0.4">
      <c r="A13" s="3">
        <v>47</v>
      </c>
      <c r="B13" s="4">
        <v>8.5099999999999995E-2</v>
      </c>
    </row>
    <row r="14" spans="1:2" ht="15" thickBot="1" x14ac:dyDescent="0.4">
      <c r="A14" s="3">
        <v>28</v>
      </c>
      <c r="B14" s="4">
        <v>0.1429</v>
      </c>
    </row>
    <row r="15" spans="1:2" ht="15" thickBot="1" x14ac:dyDescent="0.4">
      <c r="A15" s="3">
        <v>49</v>
      </c>
      <c r="B15" s="4">
        <v>2.0400000000000001E-2</v>
      </c>
    </row>
    <row r="16" spans="1:2" ht="15" thickBot="1" x14ac:dyDescent="0.4">
      <c r="A16" s="3">
        <v>41</v>
      </c>
      <c r="B16" s="4">
        <v>9.7600000000000006E-2</v>
      </c>
    </row>
    <row r="17" spans="1:2" ht="15" thickBot="1" x14ac:dyDescent="0.4">
      <c r="A17" s="3">
        <v>29</v>
      </c>
      <c r="B17" s="4">
        <v>3.4500000000000003E-2</v>
      </c>
    </row>
    <row r="18" spans="1:2" ht="15" thickBot="1" x14ac:dyDescent="0.4">
      <c r="A18" s="3">
        <v>34</v>
      </c>
      <c r="B18" s="4">
        <v>2.9399999999999999E-2</v>
      </c>
    </row>
    <row r="19" spans="1:2" ht="15" thickBot="1" x14ac:dyDescent="0.4">
      <c r="A19" s="3">
        <v>22</v>
      </c>
      <c r="B19" s="4">
        <v>0</v>
      </c>
    </row>
    <row r="20" spans="1:2" ht="15" thickBot="1" x14ac:dyDescent="0.4">
      <c r="A20" s="3">
        <v>45</v>
      </c>
      <c r="B20" s="4">
        <v>6.6699999999999995E-2</v>
      </c>
    </row>
    <row r="21" spans="1:2" ht="15" thickBot="1" x14ac:dyDescent="0.4">
      <c r="A21" s="3">
        <v>32</v>
      </c>
      <c r="B21" s="4">
        <v>9.3799999999999994E-2</v>
      </c>
    </row>
    <row r="22" spans="1:2" ht="15" thickBot="1" x14ac:dyDescent="0.4">
      <c r="A22" s="3">
        <v>39</v>
      </c>
      <c r="B22" s="4">
        <v>0</v>
      </c>
    </row>
    <row r="23" spans="1:2" ht="15" thickBot="1" x14ac:dyDescent="0.4">
      <c r="A23" s="3">
        <v>33</v>
      </c>
      <c r="B23" s="4">
        <v>0</v>
      </c>
    </row>
    <row r="24" spans="1:2" ht="15" thickBot="1" x14ac:dyDescent="0.4">
      <c r="A24" s="3">
        <v>22</v>
      </c>
      <c r="B24" s="4">
        <v>0</v>
      </c>
    </row>
    <row r="25" spans="1:2" ht="15" thickBot="1" x14ac:dyDescent="0.4">
      <c r="A25" s="3">
        <v>38</v>
      </c>
      <c r="B25" s="4">
        <v>0.15790000000000001</v>
      </c>
    </row>
    <row r="26" spans="1:2" ht="15" thickBot="1" x14ac:dyDescent="0.4">
      <c r="A26" s="3">
        <v>31</v>
      </c>
      <c r="B26" s="4">
        <v>0.4194</v>
      </c>
    </row>
    <row r="27" spans="1:2" ht="15" thickBot="1" x14ac:dyDescent="0.4">
      <c r="A27" s="3">
        <v>15</v>
      </c>
      <c r="B27" s="4">
        <v>0.26669999999999999</v>
      </c>
    </row>
    <row r="28" spans="1:2" ht="15" thickBot="1" x14ac:dyDescent="0.4">
      <c r="A28" s="3">
        <v>43</v>
      </c>
      <c r="B28" s="4">
        <v>2.3300000000000001E-2</v>
      </c>
    </row>
    <row r="29" spans="1:2" ht="15" thickBot="1" x14ac:dyDescent="0.4">
      <c r="A29" s="3">
        <v>38</v>
      </c>
      <c r="B29" s="4">
        <v>2.63E-2</v>
      </c>
    </row>
    <row r="30" spans="1:2" ht="15" thickBot="1" x14ac:dyDescent="0.4">
      <c r="A30" s="3">
        <v>39</v>
      </c>
      <c r="B30" s="4">
        <v>5.1299999999999998E-2</v>
      </c>
    </row>
    <row r="31" spans="1:2" ht="15" thickBot="1" x14ac:dyDescent="0.4">
      <c r="A31" s="3">
        <v>44</v>
      </c>
      <c r="B31" s="4">
        <v>9.0899999999999995E-2</v>
      </c>
    </row>
    <row r="32" spans="1:2" ht="15" thickBot="1" x14ac:dyDescent="0.4">
      <c r="A32" s="3">
        <v>30</v>
      </c>
      <c r="B32" s="4">
        <v>3.3300000000000003E-2</v>
      </c>
    </row>
    <row r="33" spans="1:2" ht="15" thickBot="1" x14ac:dyDescent="0.4">
      <c r="A33" s="3">
        <v>39</v>
      </c>
      <c r="B33" s="4">
        <v>0.2051</v>
      </c>
    </row>
    <row r="34" spans="1:2" ht="15" thickBot="1" x14ac:dyDescent="0.4">
      <c r="A34" s="3">
        <v>46</v>
      </c>
      <c r="B34" s="4">
        <v>0</v>
      </c>
    </row>
    <row r="35" spans="1:2" ht="15" thickBot="1" x14ac:dyDescent="0.4">
      <c r="A35" s="3">
        <v>46</v>
      </c>
      <c r="B35" s="4">
        <v>6.5199999999999994E-2</v>
      </c>
    </row>
    <row r="36" spans="1:2" ht="15" thickBot="1" x14ac:dyDescent="0.4">
      <c r="A36" s="3">
        <v>32</v>
      </c>
      <c r="B36" s="4">
        <v>0</v>
      </c>
    </row>
    <row r="37" spans="1:2" ht="15" thickBot="1" x14ac:dyDescent="0.4">
      <c r="A37" s="3">
        <v>52</v>
      </c>
      <c r="B37" s="4">
        <v>1.9199999999999998E-2</v>
      </c>
    </row>
    <row r="38" spans="1:2" ht="15" thickBot="1" x14ac:dyDescent="0.4">
      <c r="A38" s="3">
        <v>28</v>
      </c>
      <c r="B38" s="4">
        <v>0</v>
      </c>
    </row>
    <row r="39" spans="1:2" ht="15" thickBot="1" x14ac:dyDescent="0.4">
      <c r="A39" s="3">
        <v>41</v>
      </c>
      <c r="B39" s="4">
        <v>2.4400000000000002E-2</v>
      </c>
    </row>
    <row r="40" spans="1:2" ht="15" thickBot="1" x14ac:dyDescent="0.4">
      <c r="A40" s="3">
        <v>18</v>
      </c>
      <c r="B40" s="4">
        <v>0</v>
      </c>
    </row>
    <row r="41" spans="1:2" ht="15" thickBot="1" x14ac:dyDescent="0.4">
      <c r="A41" s="3">
        <v>33</v>
      </c>
      <c r="B41" s="4">
        <v>0.33329999999999999</v>
      </c>
    </row>
    <row r="42" spans="1:2" ht="15" thickBot="1" x14ac:dyDescent="0.4">
      <c r="A42" s="3">
        <v>30</v>
      </c>
      <c r="B42" s="4">
        <v>0</v>
      </c>
    </row>
    <row r="43" spans="1:2" ht="15" thickBot="1" x14ac:dyDescent="0.4">
      <c r="A43" s="3">
        <v>42</v>
      </c>
      <c r="B43" s="4">
        <v>7.1400000000000005E-2</v>
      </c>
    </row>
    <row r="44" spans="1:2" ht="15" thickBot="1" x14ac:dyDescent="0.4">
      <c r="A44" s="3">
        <v>38</v>
      </c>
      <c r="B44" s="4">
        <v>2.63E-2</v>
      </c>
    </row>
    <row r="45" spans="1:2" ht="15" thickBot="1" x14ac:dyDescent="0.4">
      <c r="A45" s="3">
        <v>48</v>
      </c>
      <c r="B45" s="4">
        <v>2.0799999999999999E-2</v>
      </c>
    </row>
    <row r="46" spans="1:2" ht="15" thickBot="1" x14ac:dyDescent="0.4">
      <c r="A46" s="3">
        <v>45</v>
      </c>
      <c r="B46" s="4">
        <v>0.2</v>
      </c>
    </row>
    <row r="47" spans="1:2" ht="15" thickBot="1" x14ac:dyDescent="0.4">
      <c r="A47" s="3">
        <v>20</v>
      </c>
      <c r="B47" s="4">
        <v>0</v>
      </c>
    </row>
    <row r="48" spans="1:2" ht="15" thickBot="1" x14ac:dyDescent="0.4">
      <c r="A48" s="3">
        <v>48</v>
      </c>
      <c r="B48" s="4">
        <v>2.0799999999999999E-2</v>
      </c>
    </row>
    <row r="49" spans="1:2" ht="15" thickBot="1" x14ac:dyDescent="0.4">
      <c r="A49" s="3">
        <v>44</v>
      </c>
      <c r="B49" s="4">
        <v>9.0899999999999995E-2</v>
      </c>
    </row>
    <row r="50" spans="1:2" ht="15" thickBot="1" x14ac:dyDescent="0.4">
      <c r="A50" s="3">
        <v>25</v>
      </c>
      <c r="B50" s="4">
        <v>0</v>
      </c>
    </row>
    <row r="51" spans="1:2" ht="15" thickBot="1" x14ac:dyDescent="0.4">
      <c r="A51" s="3">
        <v>49</v>
      </c>
      <c r="B51" s="4">
        <v>4.0800000000000003E-2</v>
      </c>
    </row>
    <row r="52" spans="1:2" ht="15" thickBot="1" x14ac:dyDescent="0.4">
      <c r="A52" s="3">
        <v>23</v>
      </c>
      <c r="B52" s="4">
        <v>8.6999999999999994E-2</v>
      </c>
    </row>
    <row r="53" spans="1:2" ht="15" thickBot="1" x14ac:dyDescent="0.4">
      <c r="A53" s="3">
        <v>31</v>
      </c>
      <c r="B53" s="4">
        <v>3.2300000000000002E-2</v>
      </c>
    </row>
    <row r="54" spans="1:2" ht="15" thickBot="1" x14ac:dyDescent="0.4">
      <c r="A54" s="3">
        <v>28</v>
      </c>
      <c r="B54" s="4">
        <v>3.5700000000000003E-2</v>
      </c>
    </row>
    <row r="55" spans="1:2" ht="15" thickBot="1" x14ac:dyDescent="0.4">
      <c r="A55" s="3">
        <v>53</v>
      </c>
      <c r="B55" s="4">
        <v>0.20749999999999999</v>
      </c>
    </row>
    <row r="56" spans="1:2" ht="15" thickBot="1" x14ac:dyDescent="0.4">
      <c r="A56" s="3">
        <v>44</v>
      </c>
      <c r="B56" s="4">
        <v>2.2700000000000001E-2</v>
      </c>
    </row>
    <row r="57" spans="1:2" ht="15" thickBot="1" x14ac:dyDescent="0.4">
      <c r="A57" s="3">
        <v>37</v>
      </c>
      <c r="B57" s="4">
        <v>0.1081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E96E-C0BA-4262-B1FF-C50F51214BB1}">
  <dimension ref="B1:E57"/>
  <sheetViews>
    <sheetView workbookViewId="0">
      <selection activeCell="E3" sqref="E3"/>
    </sheetView>
  </sheetViews>
  <sheetFormatPr defaultRowHeight="14.5" x14ac:dyDescent="0.35"/>
  <sheetData>
    <row r="1" spans="2:5" ht="52.5" thickBot="1" x14ac:dyDescent="0.4">
      <c r="B1" s="25" t="s">
        <v>53</v>
      </c>
      <c r="C1" s="25" t="s">
        <v>54</v>
      </c>
      <c r="D1" s="25" t="s">
        <v>3</v>
      </c>
    </row>
    <row r="2" spans="2:5" ht="15" thickBot="1" x14ac:dyDescent="0.4">
      <c r="B2" s="3">
        <v>2</v>
      </c>
      <c r="C2" s="3">
        <v>2</v>
      </c>
      <c r="D2" s="4">
        <v>0.20449999999999999</v>
      </c>
    </row>
    <row r="3" spans="2:5" ht="15" thickBot="1" x14ac:dyDescent="0.4">
      <c r="B3" s="3">
        <v>1</v>
      </c>
      <c r="C3" s="3">
        <v>3</v>
      </c>
      <c r="D3" s="4">
        <v>0.23080000000000001</v>
      </c>
      <c r="E3">
        <f>CORREL(C2:C100, D2:D100)</f>
        <v>3.9608709209750591E-2</v>
      </c>
    </row>
    <row r="4" spans="2:5" ht="15" thickBot="1" x14ac:dyDescent="0.4">
      <c r="B4" s="3">
        <v>1</v>
      </c>
      <c r="C4" s="3">
        <v>2</v>
      </c>
      <c r="D4" s="4">
        <v>3.85E-2</v>
      </c>
    </row>
    <row r="5" spans="2:5" ht="15" thickBot="1" x14ac:dyDescent="0.4">
      <c r="B5" s="3">
        <v>2</v>
      </c>
      <c r="C5" s="3">
        <v>3</v>
      </c>
      <c r="D5" s="4">
        <v>0.1026</v>
      </c>
    </row>
    <row r="6" spans="2:5" ht="15" thickBot="1" x14ac:dyDescent="0.4">
      <c r="B6" s="3">
        <v>3</v>
      </c>
      <c r="C6" s="3">
        <v>5</v>
      </c>
      <c r="D6" s="4">
        <v>7.4999999999999997E-2</v>
      </c>
    </row>
    <row r="7" spans="2:5" ht="15" thickBot="1" x14ac:dyDescent="0.4">
      <c r="B7" s="3">
        <v>4</v>
      </c>
      <c r="C7" s="3">
        <v>1</v>
      </c>
      <c r="D7" s="4">
        <v>3.2300000000000002E-2</v>
      </c>
    </row>
    <row r="8" spans="2:5" ht="15" thickBot="1" x14ac:dyDescent="0.4">
      <c r="B8" s="3">
        <v>5</v>
      </c>
      <c r="C8" s="3">
        <v>7</v>
      </c>
      <c r="D8" s="4">
        <v>2.3300000000000001E-2</v>
      </c>
    </row>
    <row r="9" spans="2:5" ht="15" thickBot="1" x14ac:dyDescent="0.4">
      <c r="B9" s="3">
        <v>4</v>
      </c>
      <c r="C9" s="3">
        <v>6</v>
      </c>
      <c r="D9" s="4">
        <v>8.3299999999999999E-2</v>
      </c>
    </row>
    <row r="10" spans="2:5" ht="15" thickBot="1" x14ac:dyDescent="0.4">
      <c r="B10" s="3">
        <v>3</v>
      </c>
      <c r="C10" s="3">
        <v>4</v>
      </c>
      <c r="D10" s="4">
        <v>0.04</v>
      </c>
    </row>
    <row r="11" spans="2:5" ht="15" thickBot="1" x14ac:dyDescent="0.4">
      <c r="B11" s="3">
        <v>3</v>
      </c>
      <c r="C11" s="3">
        <v>1</v>
      </c>
      <c r="D11" s="4">
        <v>0.3</v>
      </c>
    </row>
    <row r="12" spans="2:5" ht="15" thickBot="1" x14ac:dyDescent="0.4">
      <c r="B12" s="3">
        <v>5</v>
      </c>
      <c r="C12" s="3">
        <v>2</v>
      </c>
      <c r="D12" s="4">
        <v>9.5200000000000007E-2</v>
      </c>
    </row>
    <row r="13" spans="2:5" ht="15" thickBot="1" x14ac:dyDescent="0.4">
      <c r="B13" s="3">
        <v>6</v>
      </c>
      <c r="C13" s="3">
        <v>3</v>
      </c>
      <c r="D13" s="4">
        <v>8.5099999999999995E-2</v>
      </c>
    </row>
    <row r="14" spans="2:5" ht="15" thickBot="1" x14ac:dyDescent="0.4">
      <c r="B14" s="3">
        <v>2</v>
      </c>
      <c r="C14" s="3">
        <v>1</v>
      </c>
      <c r="D14" s="4">
        <v>0.1429</v>
      </c>
    </row>
    <row r="15" spans="2:5" ht="15" thickBot="1" x14ac:dyDescent="0.4">
      <c r="B15" s="3">
        <v>3</v>
      </c>
      <c r="C15" s="3">
        <v>1</v>
      </c>
      <c r="D15" s="4">
        <v>2.0400000000000001E-2</v>
      </c>
    </row>
    <row r="16" spans="2:5" ht="15" thickBot="1" x14ac:dyDescent="0.4">
      <c r="B16" s="3">
        <v>10</v>
      </c>
      <c r="C16" s="3">
        <v>0</v>
      </c>
      <c r="D16" s="4">
        <v>9.7600000000000006E-2</v>
      </c>
    </row>
    <row r="17" spans="2:4" ht="15" thickBot="1" x14ac:dyDescent="0.4">
      <c r="B17" s="3">
        <v>6</v>
      </c>
      <c r="C17" s="3">
        <v>0</v>
      </c>
      <c r="D17" s="4">
        <v>3.4500000000000003E-2</v>
      </c>
    </row>
    <row r="18" spans="2:4" ht="15" thickBot="1" x14ac:dyDescent="0.4">
      <c r="B18" s="3">
        <v>1</v>
      </c>
      <c r="C18" s="3">
        <v>0</v>
      </c>
      <c r="D18" s="4">
        <v>2.9399999999999999E-2</v>
      </c>
    </row>
    <row r="19" spans="2:4" ht="15" thickBot="1" x14ac:dyDescent="0.4">
      <c r="B19" s="3">
        <v>0</v>
      </c>
      <c r="C19" s="3">
        <v>0</v>
      </c>
      <c r="D19" s="4">
        <v>0</v>
      </c>
    </row>
    <row r="20" spans="2:4" ht="15" thickBot="1" x14ac:dyDescent="0.4">
      <c r="B20" s="3">
        <v>3</v>
      </c>
      <c r="C20" s="3">
        <v>1</v>
      </c>
      <c r="D20" s="4">
        <v>6.6699999999999995E-2</v>
      </c>
    </row>
    <row r="21" spans="2:4" ht="15" thickBot="1" x14ac:dyDescent="0.4">
      <c r="B21" s="3">
        <v>2</v>
      </c>
      <c r="C21" s="3">
        <v>0</v>
      </c>
      <c r="D21" s="4">
        <v>9.3799999999999994E-2</v>
      </c>
    </row>
    <row r="22" spans="2:4" ht="15" thickBot="1" x14ac:dyDescent="0.4">
      <c r="B22" s="3">
        <v>1</v>
      </c>
      <c r="C22" s="3">
        <v>1</v>
      </c>
      <c r="D22" s="4">
        <v>0</v>
      </c>
    </row>
    <row r="23" spans="2:4" ht="15" thickBot="1" x14ac:dyDescent="0.4">
      <c r="B23" s="3">
        <v>0</v>
      </c>
      <c r="C23" s="3">
        <v>0</v>
      </c>
      <c r="D23" s="4">
        <v>0</v>
      </c>
    </row>
    <row r="24" spans="2:4" ht="15" thickBot="1" x14ac:dyDescent="0.4">
      <c r="B24" s="3">
        <v>1</v>
      </c>
      <c r="C24" s="3">
        <v>1</v>
      </c>
      <c r="D24" s="4">
        <v>0</v>
      </c>
    </row>
    <row r="25" spans="2:4" ht="15" thickBot="1" x14ac:dyDescent="0.4">
      <c r="B25" s="3">
        <v>1</v>
      </c>
      <c r="C25" s="3">
        <v>2</v>
      </c>
      <c r="D25" s="4">
        <v>0.15790000000000001</v>
      </c>
    </row>
    <row r="26" spans="2:4" ht="15" thickBot="1" x14ac:dyDescent="0.4">
      <c r="B26" s="3">
        <v>1</v>
      </c>
      <c r="C26" s="3">
        <v>1</v>
      </c>
      <c r="D26" s="4">
        <v>0.4194</v>
      </c>
    </row>
    <row r="27" spans="2:4" ht="15" thickBot="1" x14ac:dyDescent="0.4">
      <c r="B27" s="3">
        <v>1</v>
      </c>
      <c r="C27" s="3">
        <v>0</v>
      </c>
      <c r="D27" s="4">
        <v>0.26669999999999999</v>
      </c>
    </row>
    <row r="28" spans="2:4" ht="15" thickBot="1" x14ac:dyDescent="0.4">
      <c r="B28" s="3">
        <v>1</v>
      </c>
      <c r="C28" s="3">
        <v>0</v>
      </c>
      <c r="D28" s="4">
        <v>2.3300000000000001E-2</v>
      </c>
    </row>
    <row r="29" spans="2:4" ht="15" thickBot="1" x14ac:dyDescent="0.4">
      <c r="B29" s="3">
        <v>2</v>
      </c>
      <c r="C29" s="3">
        <v>1</v>
      </c>
      <c r="D29" s="4">
        <v>2.63E-2</v>
      </c>
    </row>
    <row r="30" spans="2:4" ht="15" thickBot="1" x14ac:dyDescent="0.4">
      <c r="B30" s="3">
        <v>1</v>
      </c>
      <c r="C30" s="3">
        <v>1</v>
      </c>
      <c r="D30" s="4">
        <v>5.1299999999999998E-2</v>
      </c>
    </row>
    <row r="31" spans="2:4" ht="15" thickBot="1" x14ac:dyDescent="0.4">
      <c r="B31" s="3">
        <v>1</v>
      </c>
      <c r="C31" s="3">
        <v>1</v>
      </c>
      <c r="D31" s="4">
        <v>9.0899999999999995E-2</v>
      </c>
    </row>
    <row r="32" spans="2:4" ht="15" thickBot="1" x14ac:dyDescent="0.4">
      <c r="B32" s="3">
        <v>1</v>
      </c>
      <c r="C32" s="3">
        <v>1</v>
      </c>
      <c r="D32" s="4">
        <v>3.3300000000000003E-2</v>
      </c>
    </row>
    <row r="33" spans="2:4" ht="15" thickBot="1" x14ac:dyDescent="0.4">
      <c r="B33" s="3">
        <v>2</v>
      </c>
      <c r="C33" s="3">
        <v>4</v>
      </c>
      <c r="D33" s="4">
        <v>0.2051</v>
      </c>
    </row>
    <row r="34" spans="2:4" ht="15" thickBot="1" x14ac:dyDescent="0.4">
      <c r="B34" s="3">
        <v>0</v>
      </c>
      <c r="C34" s="3">
        <v>0</v>
      </c>
      <c r="D34" s="4">
        <v>0</v>
      </c>
    </row>
    <row r="35" spans="2:4" ht="15" thickBot="1" x14ac:dyDescent="0.4">
      <c r="B35" s="3">
        <v>0</v>
      </c>
      <c r="C35" s="3">
        <v>2</v>
      </c>
      <c r="D35" s="4">
        <v>6.5199999999999994E-2</v>
      </c>
    </row>
    <row r="36" spans="2:4" ht="15" thickBot="1" x14ac:dyDescent="0.4">
      <c r="B36" s="3">
        <v>0</v>
      </c>
      <c r="C36" s="3">
        <v>3</v>
      </c>
      <c r="D36" s="4">
        <v>0</v>
      </c>
    </row>
    <row r="37" spans="2:4" ht="15" thickBot="1" x14ac:dyDescent="0.4">
      <c r="B37" s="3">
        <v>0</v>
      </c>
      <c r="C37" s="3">
        <v>1</v>
      </c>
      <c r="D37" s="4">
        <v>1.9199999999999998E-2</v>
      </c>
    </row>
    <row r="38" spans="2:4" ht="15" thickBot="1" x14ac:dyDescent="0.4">
      <c r="B38" s="3">
        <v>0</v>
      </c>
      <c r="C38" s="3">
        <v>1</v>
      </c>
      <c r="D38" s="4">
        <v>0</v>
      </c>
    </row>
    <row r="39" spans="2:4" ht="15" thickBot="1" x14ac:dyDescent="0.4">
      <c r="B39" s="3">
        <v>0</v>
      </c>
      <c r="C39" s="3">
        <v>0</v>
      </c>
      <c r="D39" s="4">
        <v>2.4400000000000002E-2</v>
      </c>
    </row>
    <row r="40" spans="2:4" ht="15" thickBot="1" x14ac:dyDescent="0.4">
      <c r="B40" s="3">
        <v>0</v>
      </c>
      <c r="C40" s="3">
        <v>0</v>
      </c>
      <c r="D40" s="4">
        <v>0</v>
      </c>
    </row>
    <row r="41" spans="2:4" ht="15" thickBot="1" x14ac:dyDescent="0.4">
      <c r="B41" s="3">
        <v>0</v>
      </c>
      <c r="C41" s="3">
        <v>1</v>
      </c>
      <c r="D41" s="4">
        <v>0.33329999999999999</v>
      </c>
    </row>
    <row r="42" spans="2:4" ht="15" thickBot="1" x14ac:dyDescent="0.4">
      <c r="B42" s="3">
        <v>0</v>
      </c>
      <c r="C42" s="3">
        <v>1</v>
      </c>
      <c r="D42" s="4">
        <v>0</v>
      </c>
    </row>
    <row r="43" spans="2:4" ht="15" thickBot="1" x14ac:dyDescent="0.4">
      <c r="B43" s="3">
        <v>0</v>
      </c>
      <c r="C43" s="3">
        <v>0</v>
      </c>
      <c r="D43" s="4">
        <v>7.1400000000000005E-2</v>
      </c>
    </row>
    <row r="44" spans="2:4" ht="15" thickBot="1" x14ac:dyDescent="0.4">
      <c r="B44" s="3">
        <v>0</v>
      </c>
      <c r="C44" s="3">
        <v>4</v>
      </c>
      <c r="D44" s="4">
        <v>2.63E-2</v>
      </c>
    </row>
    <row r="45" spans="2:4" ht="15" thickBot="1" x14ac:dyDescent="0.4">
      <c r="B45" s="3">
        <v>4</v>
      </c>
      <c r="C45" s="3">
        <v>4</v>
      </c>
      <c r="D45" s="4">
        <v>2.0799999999999999E-2</v>
      </c>
    </row>
    <row r="46" spans="2:4" ht="15" thickBot="1" x14ac:dyDescent="0.4">
      <c r="B46" s="3">
        <v>0</v>
      </c>
      <c r="C46" s="3">
        <v>0</v>
      </c>
      <c r="D46" s="4">
        <v>0.2</v>
      </c>
    </row>
    <row r="47" spans="2:4" ht="15" thickBot="1" x14ac:dyDescent="0.4">
      <c r="B47" s="3">
        <v>0</v>
      </c>
      <c r="C47" s="3">
        <v>0</v>
      </c>
      <c r="D47" s="4">
        <v>0</v>
      </c>
    </row>
    <row r="48" spans="2:4" ht="15" thickBot="1" x14ac:dyDescent="0.4">
      <c r="B48" s="3">
        <v>0</v>
      </c>
      <c r="C48" s="3">
        <v>0</v>
      </c>
      <c r="D48" s="4">
        <v>2.0799999999999999E-2</v>
      </c>
    </row>
    <row r="49" spans="2:4" ht="15" thickBot="1" x14ac:dyDescent="0.4">
      <c r="B49" s="3">
        <v>2</v>
      </c>
      <c r="C49" s="3">
        <v>1</v>
      </c>
      <c r="D49" s="4">
        <v>9.0899999999999995E-2</v>
      </c>
    </row>
    <row r="50" spans="2:4" ht="15" thickBot="1" x14ac:dyDescent="0.4">
      <c r="B50" s="3">
        <v>0</v>
      </c>
      <c r="C50" s="3">
        <v>0</v>
      </c>
      <c r="D50" s="4">
        <v>0</v>
      </c>
    </row>
    <row r="51" spans="2:4" ht="15" thickBot="1" x14ac:dyDescent="0.4">
      <c r="B51" s="3">
        <v>0</v>
      </c>
      <c r="C51" s="3">
        <v>1</v>
      </c>
      <c r="D51" s="4">
        <v>4.0800000000000003E-2</v>
      </c>
    </row>
    <row r="52" spans="2:4" ht="15" thickBot="1" x14ac:dyDescent="0.4">
      <c r="B52" s="3">
        <v>0</v>
      </c>
      <c r="C52" s="3">
        <v>0</v>
      </c>
      <c r="D52" s="4">
        <v>8.6999999999999994E-2</v>
      </c>
    </row>
    <row r="53" spans="2:4" ht="15" thickBot="1" x14ac:dyDescent="0.4">
      <c r="B53" s="3">
        <v>0</v>
      </c>
      <c r="C53" s="3">
        <v>0</v>
      </c>
      <c r="D53" s="4">
        <v>3.2300000000000002E-2</v>
      </c>
    </row>
    <row r="54" spans="2:4" ht="15" thickBot="1" x14ac:dyDescent="0.4">
      <c r="B54" s="3">
        <v>0</v>
      </c>
      <c r="C54" s="3">
        <v>0</v>
      </c>
      <c r="D54" s="4">
        <v>3.5700000000000003E-2</v>
      </c>
    </row>
    <row r="55" spans="2:4" ht="15" thickBot="1" x14ac:dyDescent="0.4">
      <c r="B55" s="3">
        <v>0</v>
      </c>
      <c r="C55" s="3">
        <v>0</v>
      </c>
      <c r="D55" s="4">
        <v>0.20749999999999999</v>
      </c>
    </row>
    <row r="56" spans="2:4" ht="15" thickBot="1" x14ac:dyDescent="0.4">
      <c r="B56" s="3">
        <v>4</v>
      </c>
      <c r="C56" s="3">
        <v>0</v>
      </c>
      <c r="D56" s="4">
        <v>2.2700000000000001E-2</v>
      </c>
    </row>
    <row r="57" spans="2:4" ht="15" thickBot="1" x14ac:dyDescent="0.4">
      <c r="B57" s="3">
        <v>0</v>
      </c>
      <c r="C57" s="3">
        <v>0</v>
      </c>
      <c r="D57" s="4">
        <v>0.1081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Current state</vt:lpstr>
      <vt:lpstr>Complete data-copy</vt:lpstr>
      <vt:lpstr>Data - Working</vt:lpstr>
      <vt:lpstr>Pareto-Pod Brand</vt:lpstr>
      <vt:lpstr>Regression- All variables</vt:lpstr>
      <vt:lpstr>Regression - Dishes Top Rack</vt:lpstr>
      <vt:lpstr>Regression - Pod Brand</vt:lpstr>
      <vt:lpstr>Pareto-Cycle Type</vt:lpstr>
      <vt:lpstr>Time series Plot</vt:lpstr>
      <vt:lpstr>Day of week plot</vt:lpstr>
      <vt:lpstr>ANOVA on Pod type</vt:lpstr>
      <vt:lpstr>ANOVA Run Cycle</vt:lpstr>
      <vt:lpstr>Pod-setting combination</vt:lpstr>
      <vt:lpstr>When to use Heavy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Janani</dc:creator>
  <cp:lastModifiedBy>Janani T S</cp:lastModifiedBy>
  <dcterms:created xsi:type="dcterms:W3CDTF">2015-06-05T18:17:20Z</dcterms:created>
  <dcterms:modified xsi:type="dcterms:W3CDTF">2025-11-21T15:03:15Z</dcterms:modified>
</cp:coreProperties>
</file>